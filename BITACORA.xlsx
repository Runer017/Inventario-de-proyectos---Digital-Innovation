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awaconsulting-my.sharepoint.com/personal/tamara_aquino_grupotawa_com/Documents/Documentos/INVENTARIO PROYECTOS/"/>
    </mc:Choice>
  </mc:AlternateContent>
  <xr:revisionPtr revIDLastSave="70" documentId="13_ncr:1_{79F5C5F5-2012-41F9-A8D9-B4DB87B2758E}" xr6:coauthVersionLast="47" xr6:coauthVersionMax="47" xr10:uidLastSave="{E89816D7-F260-4865-BE90-A9668D73513B}"/>
  <bookViews>
    <workbookView xWindow="-110" yWindow="-110" windowWidth="19420" windowHeight="11500" xr2:uid="{EECCFB5A-50C9-4A65-808E-82D7CCD40A8A}"/>
  </bookViews>
  <sheets>
    <sheet name="BITACORA" sheetId="22" r:id="rId1"/>
  </sheets>
  <definedNames>
    <definedName name="_xlnm._FilterDatabase" localSheetId="0" hidden="1">BITACORA!$A$1:$W$103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22" l="1"/>
  <c r="V3" i="22"/>
  <c r="V4" i="22"/>
  <c r="V5" i="22"/>
  <c r="V6" i="22"/>
  <c r="V7" i="22"/>
  <c r="V8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6" i="22"/>
  <c r="V57" i="22"/>
  <c r="V58" i="22"/>
  <c r="V59" i="22"/>
  <c r="V60" i="22"/>
  <c r="V61" i="22"/>
  <c r="V62" i="22"/>
  <c r="V63" i="22"/>
  <c r="V64" i="22"/>
  <c r="V65" i="22"/>
  <c r="V66" i="22"/>
  <c r="V67" i="22"/>
  <c r="V68" i="22"/>
  <c r="V69" i="22"/>
  <c r="V70" i="22"/>
  <c r="V71" i="22"/>
  <c r="V72" i="22"/>
  <c r="V73" i="22"/>
  <c r="V74" i="22"/>
  <c r="V75" i="22"/>
  <c r="V76" i="22"/>
  <c r="V77" i="22"/>
  <c r="V78" i="22"/>
  <c r="V79" i="22"/>
  <c r="V80" i="22"/>
  <c r="V81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95" i="22"/>
  <c r="V96" i="22"/>
  <c r="V97" i="22"/>
  <c r="V98" i="22"/>
  <c r="V99" i="22"/>
  <c r="V100" i="22"/>
  <c r="V101" i="22"/>
  <c r="V102" i="22"/>
  <c r="V103" i="22"/>
  <c r="V2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tc={872B261C-1657-48CD-8CCC-F79838B3E3A0}</author>
    <author>tc={BBC3B87A-7D41-48AD-8D03-2B8F13BF0413}</author>
    <author>tc={0D6152C3-0480-4546-A519-3200D0B68E4C}</author>
  </authors>
  <commentList>
    <comment ref="D1" authorId="0" shapeId="0" xr:uid="{872B261C-1657-48CD-8CCC-F79838B3E3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base al informe de cierre o Notion</t>
      </text>
    </comment>
    <comment ref="Q1" authorId="1" shapeId="0" xr:uid="{BBC3B87A-7D41-48AD-8D03-2B8F13BF04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Tambien nombrado como informe de inicio</t>
      </text>
    </comment>
    <comment ref="A6" authorId="2" shapeId="0" xr:uid="{0D6152C3-0480-4546-A519-3200D0B68E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AUT - mover carpeta</t>
      </text>
    </comment>
  </commentList>
</comments>
</file>

<file path=xl/sharedStrings.xml><?xml version="1.0" encoding="utf-8"?>
<sst xmlns="http://schemas.openxmlformats.org/spreadsheetml/2006/main" count="1746" uniqueCount="395">
  <si>
    <t>EMPRESA</t>
  </si>
  <si>
    <t>SOLUCION</t>
  </si>
  <si>
    <t>TIPO</t>
  </si>
  <si>
    <t>ESTADO</t>
  </si>
  <si>
    <t>OBSERVACIONES</t>
  </si>
  <si>
    <t>Franco Chunga</t>
  </si>
  <si>
    <t>Selección</t>
  </si>
  <si>
    <t>Reclutamiento y Selección</t>
  </si>
  <si>
    <t>Mafer Peña</t>
  </si>
  <si>
    <t>GH</t>
  </si>
  <si>
    <t>Facturación</t>
  </si>
  <si>
    <t>OR</t>
  </si>
  <si>
    <t>PROYECTO</t>
  </si>
  <si>
    <t>Operaciones</t>
  </si>
  <si>
    <t>CAR</t>
  </si>
  <si>
    <t>Jeremi Aguirre</t>
  </si>
  <si>
    <t>CSC</t>
  </si>
  <si>
    <t>PILOTO</t>
  </si>
  <si>
    <t>Contabilidad</t>
  </si>
  <si>
    <t>SSOMA</t>
  </si>
  <si>
    <t>Infraestructura</t>
  </si>
  <si>
    <t>ROM</t>
  </si>
  <si>
    <t>Compras</t>
  </si>
  <si>
    <t>Flujo de Cartas de Promocion</t>
  </si>
  <si>
    <t>DATA ANALYTICS</t>
  </si>
  <si>
    <t>LIMTEK</t>
  </si>
  <si>
    <t>Fidel Medina</t>
  </si>
  <si>
    <t>Martin Novoa</t>
  </si>
  <si>
    <t>Tamara Aquino</t>
  </si>
  <si>
    <t>Leidy Castillo</t>
  </si>
  <si>
    <t>-</t>
  </si>
  <si>
    <t>Victor Cueto</t>
  </si>
  <si>
    <t>CODIGO</t>
  </si>
  <si>
    <t>AÑO</t>
  </si>
  <si>
    <t>DURACION (MES)</t>
  </si>
  <si>
    <t>RESPONSABLE - TIC</t>
  </si>
  <si>
    <t>AREA USUARIA</t>
  </si>
  <si>
    <t>KEY USER</t>
  </si>
  <si>
    <t>PLATAFORMA</t>
  </si>
  <si>
    <t>PRESUPUESTADO</t>
  </si>
  <si>
    <t xml:space="preserve">PDD </t>
  </si>
  <si>
    <t>1. BUSINESS CASE</t>
  </si>
  <si>
    <t>2. PLAN DE TRABAJO</t>
  </si>
  <si>
    <t>3. KICKOFF</t>
  </si>
  <si>
    <t>4. INFORME DE CIERRE</t>
  </si>
  <si>
    <t>5. ACTA DE CIERRE</t>
  </si>
  <si>
    <t>6. MANUAL TECNICO</t>
  </si>
  <si>
    <t>MANUAL DE USUARIO</t>
  </si>
  <si>
    <t>AUT-LIM-22-01</t>
  </si>
  <si>
    <t>Enrique Villareal</t>
  </si>
  <si>
    <t>SSOMA
RRHH</t>
  </si>
  <si>
    <t>Karen Izarra|Rossana Fajardo</t>
  </si>
  <si>
    <t>AUTOMATIZACION</t>
  </si>
  <si>
    <t>AUTOMATION ANYWHERE</t>
  </si>
  <si>
    <t xml:space="preserve"> Automatización del envío y seguimiento masivo de los documentos de SSOMAC y RRHH</t>
  </si>
  <si>
    <t>SI</t>
  </si>
  <si>
    <t>NO</t>
  </si>
  <si>
    <t>GUIA FUNCIONAL</t>
  </si>
  <si>
    <t>AUT-GTA-22-02</t>
  </si>
  <si>
    <t>2.7</t>
  </si>
  <si>
    <t>GTAWA</t>
  </si>
  <si>
    <t>Automatización del proceso de carga de archivos a AFP net</t>
  </si>
  <si>
    <t>GUIA FUNCIONAL - CUENTA CON SDD</t>
  </si>
  <si>
    <t>AUT-GTA-22-03</t>
  </si>
  <si>
    <t>4.8</t>
  </si>
  <si>
    <t>Automatización del registro de información de los colaboradores en la plataforma WEB de SUNAT (T-registro)</t>
  </si>
  <si>
    <t>CUENTA CON SDD</t>
  </si>
  <si>
    <t>AUT-GTA-22-04</t>
  </si>
  <si>
    <t>Automatización del proceso de carga de archivo a PLAME (SUNAT)</t>
  </si>
  <si>
    <t xml:space="preserve">GUIA FUNCIONAL </t>
  </si>
  <si>
    <t>DIG-LIM-22-05</t>
  </si>
  <si>
    <t xml:space="preserve"> Automatización del envío y seguimiento masivo de los documentos de SSOMAC y RRHH V2</t>
  </si>
  <si>
    <t>LA CARPETA CONTIENE LOS DOCUMENTOS DEL PROYECTO AUT-LIM-22-01</t>
  </si>
  <si>
    <t>AUT-ROM-22-06</t>
  </si>
  <si>
    <t>3.2</t>
  </si>
  <si>
    <t>ROM Retail Chile</t>
  </si>
  <si>
    <t xml:space="preserve">Diana Dávila </t>
  </si>
  <si>
    <t>SHAREPOINT</t>
  </si>
  <si>
    <t xml:space="preserve">Flujo de Aprobaciones ROM Retail Chile </t>
  </si>
  <si>
    <t>CUENTA CON ACTA DE CIERRE, PROYECTO DE POWER AUTOMATE ALOJADO EN PROYECTO DE DIGITALIZACION</t>
  </si>
  <si>
    <t>DIG-LIM-23-01</t>
  </si>
  <si>
    <t>1.7</t>
  </si>
  <si>
    <t>Administración de personal</t>
  </si>
  <si>
    <t>Rosselin Zacarias</t>
  </si>
  <si>
    <t>DIGITALIZACION</t>
  </si>
  <si>
    <t>POWER APPS</t>
  </si>
  <si>
    <t>Flujo de Offboarding - GH Personal Operativo</t>
  </si>
  <si>
    <t>AUT-LIM-23-02</t>
  </si>
  <si>
    <t>1.5</t>
  </si>
  <si>
    <t>Administración y Finanzas</t>
  </si>
  <si>
    <t>Karin Saldaña</t>
  </si>
  <si>
    <t>Automatización del proceso de Generación de Facturas SAP B1 para los negocios de OR e IL &amp; OUT.</t>
  </si>
  <si>
    <t>NO TIENE INFORMACION</t>
  </si>
  <si>
    <t>AUT-GTA-23-03</t>
  </si>
  <si>
    <t>6.8</t>
  </si>
  <si>
    <t>Acreditación laboral Chile</t>
  </si>
  <si>
    <t>Jessenia Gutierrez</t>
  </si>
  <si>
    <t>Automatización de la carga de dirección del trabajo en el Portal de DT en Chile</t>
  </si>
  <si>
    <t>AUT-GTA-23-04</t>
  </si>
  <si>
    <t>REQUERIMIENTO</t>
  </si>
  <si>
    <t>3.1</t>
  </si>
  <si>
    <t>OR Tawa Chile</t>
  </si>
  <si>
    <t>Nebai Cabrera</t>
  </si>
  <si>
    <t>Automatización del proceso de extracción de información de las Licencias Medicas de los clientes de OR Chile</t>
  </si>
  <si>
    <t>CODIGO ANTERIOR REQATM004</t>
  </si>
  <si>
    <t>AUT-LIM-23-05</t>
  </si>
  <si>
    <t>1.1</t>
  </si>
  <si>
    <t>Karen Izarra</t>
  </si>
  <si>
    <t>Automatización del proceso de descarga y envio de Exámenes Médicos</t>
  </si>
  <si>
    <t>CODIGO ANTERIOR REQATM019</t>
  </si>
  <si>
    <t>AUT-GTA-23-06</t>
  </si>
  <si>
    <t>1.8</t>
  </si>
  <si>
    <t>Vanessa Fernandez</t>
  </si>
  <si>
    <t>Automatización del proceso de descarga de archivos del Portal E-Fact</t>
  </si>
  <si>
    <t>CODIGO ANTERIOR REQATM020</t>
  </si>
  <si>
    <t>AUT-GTA-23-07</t>
  </si>
  <si>
    <t>Maria Iparraguirre</t>
  </si>
  <si>
    <t>Automatización el registro de vida ley en página del MINTRA</t>
  </si>
  <si>
    <t>CODIGO ANTERIOR  REQDIG006</t>
  </si>
  <si>
    <t>AUT-GTA-23-08</t>
  </si>
  <si>
    <t>9.9</t>
  </si>
  <si>
    <t>Base de Conciliación Bancaria</t>
  </si>
  <si>
    <t>CODIGO ANTERIOR REQDIG009 , CARPETA VACÍA.SIN DOCS EN CLICK UP</t>
  </si>
  <si>
    <t>AUT-GTA-23-09</t>
  </si>
  <si>
    <t>2.4</t>
  </si>
  <si>
    <t>Modificación y Cese en T-Registro</t>
  </si>
  <si>
    <t>CODIGO ANTERIOR REQDIG012</t>
  </si>
  <si>
    <t>DIG-LIM-23-10</t>
  </si>
  <si>
    <t>Harry Puma
Marisa Carrión</t>
  </si>
  <si>
    <t>Flujo de Offboarding - GH Personal Administrativo</t>
  </si>
  <si>
    <t>DIG-LIM-23-11</t>
  </si>
  <si>
    <t>3.5</t>
  </si>
  <si>
    <t>CA</t>
  </si>
  <si>
    <t>Aplicación para el Proceso de Control de Asistencia</t>
  </si>
  <si>
    <t>DIG-GTA-23-12</t>
  </si>
  <si>
    <t>Aplicación para la digitalización del proceso del flujo de entrega de equipos.</t>
  </si>
  <si>
    <t>DIG-GTA-23-13</t>
  </si>
  <si>
    <t>3.4</t>
  </si>
  <si>
    <t>ROM/TAWA</t>
  </si>
  <si>
    <t>Christian Venturo</t>
  </si>
  <si>
    <t>Aplicación para la gestión de Reclutamiento y Selección desde el ingreso del Requerimiento hasta el Cierre.</t>
  </si>
  <si>
    <t>DIG-GTA-23-14</t>
  </si>
  <si>
    <t>2.5</t>
  </si>
  <si>
    <t>POWER PLATFORM</t>
  </si>
  <si>
    <t>Aplicación para el proceso del flujo de no adeudos para los colaboradores que se retiran del grupo Tawa (Offboarding)</t>
  </si>
  <si>
    <t>MANUAL TECNICO ELABORADO RECIENTEMENTE, CODIGO ANTERIOR REQDIG006</t>
  </si>
  <si>
    <t>DIG-LIM-23-15</t>
  </si>
  <si>
    <t>Diego Mena</t>
  </si>
  <si>
    <t>Formulario de inspección de limpieza Limtek</t>
  </si>
  <si>
    <t>CODIGO ANTERIOR REQDIG010</t>
  </si>
  <si>
    <t>DIG-LIM-23-16</t>
  </si>
  <si>
    <t>Harry Puma</t>
  </si>
  <si>
    <t xml:space="preserve"> Formulario para el registro de horas extras desde el móvil y la automatización de reportes</t>
  </si>
  <si>
    <t>NOMBRE ANTERIOR DIG_LIM_CAR_Horas Extra / carperta casi vacía</t>
  </si>
  <si>
    <t>DIG-LIM-23-17</t>
  </si>
  <si>
    <t>Jenri Atalaya</t>
  </si>
  <si>
    <t>EXCEL</t>
  </si>
  <si>
    <t>Desarrollor de una macro que permita ingresar las novedades al planificado de manera automática.​</t>
  </si>
  <si>
    <t>DIG-LIM-23-18</t>
  </si>
  <si>
    <t>2.2</t>
  </si>
  <si>
    <t>Josué Vizcarra
Andrea Canchanya</t>
  </si>
  <si>
    <t>Digitalización del Registro de Novedades</t>
  </si>
  <si>
    <t>DIG-LIM-23-19</t>
  </si>
  <si>
    <t>18.8</t>
  </si>
  <si>
    <t>Optimización de 9 procesos operativos</t>
  </si>
  <si>
    <t>PARALIZADO</t>
  </si>
  <si>
    <t>Proyecto de planificacion de 9 proceso operativos de limtek, mas no implementacion de soluciones.</t>
  </si>
  <si>
    <t>NOR-GTA-23-20</t>
  </si>
  <si>
    <t>7.2</t>
  </si>
  <si>
    <t>Bryan Acuña</t>
  </si>
  <si>
    <t>Varias</t>
  </si>
  <si>
    <t>Líderes de áreas</t>
  </si>
  <si>
    <t>NORMATIVA</t>
  </si>
  <si>
    <t>DOCUMENTACION</t>
  </si>
  <si>
    <t>Actualización del sistema documental</t>
  </si>
  <si>
    <t>Actualización de  la documentación de las 19 áreas de Tawa y Rom</t>
  </si>
  <si>
    <t>IA-GTA-23-21</t>
  </si>
  <si>
    <t>5.5</t>
  </si>
  <si>
    <t>Damaris de la Cruz</t>
  </si>
  <si>
    <t>IA</t>
  </si>
  <si>
    <t>OTRO</t>
  </si>
  <si>
    <t>Piloto de chatbot de WhatsApp</t>
  </si>
  <si>
    <t xml:space="preserve">Para la experiencia de consulta y reclamos para los operarios y administradores.
</t>
  </si>
  <si>
    <t>DIG-GTA-23-22</t>
  </si>
  <si>
    <t>Alicia Solano</t>
  </si>
  <si>
    <t>Digitalización del flujo de Selección Masivo (Tawa &amp; Rom)</t>
  </si>
  <si>
    <t>AUT-LIM-23-23</t>
  </si>
  <si>
    <t>1.6</t>
  </si>
  <si>
    <t>Automatización del envío de resultados de EMO's a los colaboradores</t>
  </si>
  <si>
    <t>AUT-GTA-24-01</t>
  </si>
  <si>
    <t>1.4</t>
  </si>
  <si>
    <t>Automatización para el registro de detracciones a SAP</t>
  </si>
  <si>
    <t>AUT-GTA-24-02</t>
  </si>
  <si>
    <t>Anthuane Chicoma</t>
  </si>
  <si>
    <t>Automatización del proceso de facturación para los servicios de Tawa</t>
  </si>
  <si>
    <t>AUT-GTA-24-03</t>
  </si>
  <si>
    <t xml:space="preserve">Trade Marketing </t>
  </si>
  <si>
    <t>Leonard Romero</t>
  </si>
  <si>
    <t>Automatización del proceso de descarga de información de Pagina B2B Trademarketing</t>
  </si>
  <si>
    <t>AUT-GTA-24-04</t>
  </si>
  <si>
    <t>Victor Vidal</t>
  </si>
  <si>
    <t>Finanzas Tawa Chile</t>
  </si>
  <si>
    <t>Kimberly Rojas</t>
  </si>
  <si>
    <t xml:space="preserve">Automatización de  la generacion de informe de provisiones de ventas pendientes </t>
  </si>
  <si>
    <t>AUT-GTA-24-05</t>
  </si>
  <si>
    <t>1.3</t>
  </si>
  <si>
    <t>​​​Automatización para la validación vouchers abonos en efectivo​</t>
  </si>
  <si>
    <t>codigo anterior REQATM020</t>
  </si>
  <si>
    <t>DIG-LIM-24-06</t>
  </si>
  <si>
    <t>Fiorella Juarez
Denisse Quispe
Víctor Torres</t>
  </si>
  <si>
    <t>Digitalización del proceso de evaluación de desempeño para los colaboradores administrativos de LIMTEK</t>
  </si>
  <si>
    <t>DIG-GTA-24-07</t>
  </si>
  <si>
    <t>Portal SIG</t>
  </si>
  <si>
    <t>DIG-GTA-24-08</t>
  </si>
  <si>
    <t>4.5</t>
  </si>
  <si>
    <t xml:space="preserve">Selección Tawa
Selección ROM </t>
  </si>
  <si>
    <t>Barbara Gonzalez
Joselin Tello
Paola Gerp</t>
  </si>
  <si>
    <t>Digitalización del Flujo de Selección Masivo e Interno Chile</t>
  </si>
  <si>
    <t>DIG-GTA-24-09</t>
  </si>
  <si>
    <t>Seguridad de la Información</t>
  </si>
  <si>
    <t>Modulo de  registro de no conformidades ISO 27001</t>
  </si>
  <si>
    <t>DIG-GTA-24-10</t>
  </si>
  <si>
    <t>SSGG</t>
  </si>
  <si>
    <t>App para la reserva de estacionamientos</t>
  </si>
  <si>
    <t>DIG-GTA-24-11</t>
  </si>
  <si>
    <t>Fabiola Prado</t>
  </si>
  <si>
    <t>Automatización del Ingreso del Formulario F-30 a DT en Tawa Chile</t>
  </si>
  <si>
    <t>DIG-GTA-24-12</t>
  </si>
  <si>
    <t>Prevención de riesgos</t>
  </si>
  <si>
    <t>Carolina Rodriguez</t>
  </si>
  <si>
    <t>Digitalización del Flujo de Prevención de Riesgos Chile</t>
  </si>
  <si>
    <t>DIG-LIM-24-13</t>
  </si>
  <si>
    <t>3.6</t>
  </si>
  <si>
    <t>Kevin Cajamayta</t>
  </si>
  <si>
    <t>Digitalización del Flujo de Selección Masivo Limtek</t>
  </si>
  <si>
    <t>DIG-ROM-24-14</t>
  </si>
  <si>
    <t>Digitalización del Ingreso de Bopis</t>
  </si>
  <si>
    <t>DIG-GTA-24-15</t>
  </si>
  <si>
    <t>5.2</t>
  </si>
  <si>
    <t>TIC</t>
  </si>
  <si>
    <t>John Tersi</t>
  </si>
  <si>
    <t>Digitalización de inventario y Flujo de renovación de equipos.</t>
  </si>
  <si>
    <t>IA-GTA-24-16</t>
  </si>
  <si>
    <t>4.1</t>
  </si>
  <si>
    <t>Piloto de Azure Open AI</t>
  </si>
  <si>
    <t>CERRADO</t>
  </si>
  <si>
    <t>No hay ningun documento en click up</t>
  </si>
  <si>
    <t>DIG-LIM-24-17</t>
  </si>
  <si>
    <t>Fidelización</t>
  </si>
  <si>
    <t>Lucía Reyes García</t>
  </si>
  <si>
    <t>Digitalización del Flujo de Atención al Cliente</t>
  </si>
  <si>
    <t>AUT-GTA-25-01</t>
  </si>
  <si>
    <t>Automatización para las conciliaciones bancarias</t>
  </si>
  <si>
    <t>Se cuenta con documentos del paso a paso para ingresar a la plataformas involucradas en la automatización.</t>
  </si>
  <si>
    <t>AUT-LIM-25-02</t>
  </si>
  <si>
    <t>POWER AUTOMATE</t>
  </si>
  <si>
    <t>Automatización para la descarga de clientes</t>
  </si>
  <si>
    <t>Archivo txt con la situación inicial.</t>
  </si>
  <si>
    <t>DIG-LIM-25-01</t>
  </si>
  <si>
    <t>Digitalización para la gestión de ausentismos en LIMTEK-CAR.</t>
  </si>
  <si>
    <t>Se cuenta solo con un excel de observaciones por los usuarios.</t>
  </si>
  <si>
    <t>DIG-LIM-25-02</t>
  </si>
  <si>
    <t>Digitalización para la gestión de reclutamiento y selección de personal operativo en LIMTEK.</t>
  </si>
  <si>
    <t>Archivo txt con relevamiento del proceso.</t>
  </si>
  <si>
    <t>DIG-LIM-25-03</t>
  </si>
  <si>
    <t>Aplicación para la planificación de servicios LIMTEK</t>
  </si>
  <si>
    <t>Se refiere a PowerApp para Planifcación y Control de Asitencia?</t>
  </si>
  <si>
    <t>DIG-LIM-25-04</t>
  </si>
  <si>
    <t>Aplicación para la gestión de licencias y vacaciones</t>
  </si>
  <si>
    <t>Los documentos de cierre corresponden a otros proyectos</t>
  </si>
  <si>
    <t>DIG-GTA-25-05</t>
  </si>
  <si>
    <t>Aplicación para la gestión de entrega de activos y devolución</t>
  </si>
  <si>
    <t>DIG-GTA-25-06</t>
  </si>
  <si>
    <t>Ursula Altet</t>
  </si>
  <si>
    <t>Digitalización del Flujo de Selección Interna</t>
  </si>
  <si>
    <t>DIG-GTA-25-07</t>
  </si>
  <si>
    <t>Aplicación de reclutamiento y selección Chile</t>
  </si>
  <si>
    <t>Archivo txt con relevamiento.</t>
  </si>
  <si>
    <t>DIG-ROM-25-08</t>
  </si>
  <si>
    <t>App registro de operaciones ROM retail - samsung</t>
  </si>
  <si>
    <t>DIG-LIM-25-09</t>
  </si>
  <si>
    <t>PowerApp Inspecciones operativas 2.0</t>
  </si>
  <si>
    <t>DIG-LIM-25-10</t>
  </si>
  <si>
    <t>MEJORA</t>
  </si>
  <si>
    <t>Mejoras en PowerApp Bajas</t>
  </si>
  <si>
    <t>AUT-LIM-26-01</t>
  </si>
  <si>
    <t>RPA Descarga y Envio EMO a Colaboradores</t>
  </si>
  <si>
    <t>AUT-GTA-26-02</t>
  </si>
  <si>
    <t>4 días</t>
  </si>
  <si>
    <t>Marketing</t>
  </si>
  <si>
    <t>Flujo de Captura de Leads</t>
  </si>
  <si>
    <t>NO APLICA</t>
  </si>
  <si>
    <t>AUT-GTA-26-03</t>
  </si>
  <si>
    <t>Administración</t>
  </si>
  <si>
    <t>RPA Descarga de Bancos</t>
  </si>
  <si>
    <t>AUT-GTA-26-04</t>
  </si>
  <si>
    <t>0.5</t>
  </si>
  <si>
    <t>RPA Registros de Ingresos Contables a SAP B1</t>
  </si>
  <si>
    <t>ANULADO</t>
  </si>
  <si>
    <t>AUT-ROM-26-05</t>
  </si>
  <si>
    <t>Samsung</t>
  </si>
  <si>
    <t>RPA Traspaso de Inventario Samsung</t>
  </si>
  <si>
    <t>IDENTIFICADO</t>
  </si>
  <si>
    <t>AUT-GTA-26-06</t>
  </si>
  <si>
    <t>RPA Extracción de Información de Telefonía</t>
  </si>
  <si>
    <t>EN CURSO</t>
  </si>
  <si>
    <t>Se cuenta con un archivo sobre el levantamiento del proceso</t>
  </si>
  <si>
    <t>AUT-GTA-26-07</t>
  </si>
  <si>
    <t>RPA Registro de Solped en SAP B1</t>
  </si>
  <si>
    <t>AUT-GTA-26-08</t>
  </si>
  <si>
    <t>RPA Generación de OC en SAP B1</t>
  </si>
  <si>
    <t>AUT-GTA-26-09</t>
  </si>
  <si>
    <t>RPA Cruce entre Provisiones y Facturas</t>
  </si>
  <si>
    <t>AUT-GTA-26-10</t>
  </si>
  <si>
    <t>RPA Envío de Notificación de Facturas por Vencer</t>
  </si>
  <si>
    <t>AUT-GTA-26-11</t>
  </si>
  <si>
    <t>RPA Creación de Facturación para Rom</t>
  </si>
  <si>
    <t>AUT-GTA-26-12</t>
  </si>
  <si>
    <t>RPA TRegistro 2.0</t>
  </si>
  <si>
    <t>AUT-GTA-26-13</t>
  </si>
  <si>
    <t>1.2</t>
  </si>
  <si>
    <t>RPA Descarga de Constancias de Bancos</t>
  </si>
  <si>
    <t>AUT-GTA-26-14</t>
  </si>
  <si>
    <t>RPA AFP 2.0</t>
  </si>
  <si>
    <t>AUT-GTA-26-15</t>
  </si>
  <si>
    <t>Mejora RPA Regularización Trabajadores Vida Ley</t>
  </si>
  <si>
    <t>AUT-GTA-26-16</t>
  </si>
  <si>
    <t>RPA Vida Ley 2.0</t>
  </si>
  <si>
    <t>AUT-GTA-26-17</t>
  </si>
  <si>
    <t>RPA Plame 2.0</t>
  </si>
  <si>
    <t>AUT-GTA-26-18</t>
  </si>
  <si>
    <t>RPA Consolidación Estado Cuentas</t>
  </si>
  <si>
    <t>AUT-GTA-26-19</t>
  </si>
  <si>
    <t>Mejoras RPA Cruce de Efact vs Odoo</t>
  </si>
  <si>
    <t>AUT-GTA-26-20</t>
  </si>
  <si>
    <t>RPA Reporte de Comisiones de Tarjetas</t>
  </si>
  <si>
    <t>PLANIFICADO</t>
  </si>
  <si>
    <t>AUT-GTA-26-21</t>
  </si>
  <si>
    <t>Mejoras RPA Vouchers Efectivo</t>
  </si>
  <si>
    <t>DIG-GTA-26-22</t>
  </si>
  <si>
    <t>Atracción del talento</t>
  </si>
  <si>
    <t>App Selección Externa AT</t>
  </si>
  <si>
    <t>DIG-GTA-26-23</t>
  </si>
  <si>
    <t>10.2</t>
  </si>
  <si>
    <t>Mejoras al App Selección - Interna</t>
  </si>
  <si>
    <t>De tipo mejora</t>
  </si>
  <si>
    <t>DIG-LIM-26-24</t>
  </si>
  <si>
    <t>1.9</t>
  </si>
  <si>
    <t>Mejoras al App Selección - Limtek</t>
  </si>
  <si>
    <t>DIG-LIM-26-25</t>
  </si>
  <si>
    <t>App Gestión de Servicios Especiales</t>
  </si>
  <si>
    <t>DIG-LIM-26-26</t>
  </si>
  <si>
    <t>App Inspección de Seguridad (Portal SSOMA)</t>
  </si>
  <si>
    <t>DIG-GTA-26-27</t>
  </si>
  <si>
    <t>POWER BI</t>
  </si>
  <si>
    <t>Dashboard Uso de Apps de Selección</t>
  </si>
  <si>
    <t>DIG-ROM-26-28</t>
  </si>
  <si>
    <t>App Seguimiento de Soporte Galaxy</t>
  </si>
  <si>
    <t>DIG-LIM-26-29</t>
  </si>
  <si>
    <t>Piloto de Gestión de Reporting (App Piloto AllIn)</t>
  </si>
  <si>
    <t>DIG-GTA-26-30</t>
  </si>
  <si>
    <t>Mejoras al App Selección - CSC</t>
  </si>
  <si>
    <t>De tipo mejora. Excel con relevamiento.</t>
  </si>
  <si>
    <t>DIG-ROM-26-31</t>
  </si>
  <si>
    <t>App Gestión Documental de Licencias y Seguros</t>
  </si>
  <si>
    <t>POSTERGADO</t>
  </si>
  <si>
    <t>DIG-LIM-26-32</t>
  </si>
  <si>
    <t>App Registro de Incidencias de Maquinarias</t>
  </si>
  <si>
    <t>DIG-LIM-26-33</t>
  </si>
  <si>
    <t>App Gestión de Accidentes (Portal SSOMA)</t>
  </si>
  <si>
    <t>DIG-TIC-26-34</t>
  </si>
  <si>
    <t>Mejoras en Apps Gestión de Activos - Renovaciones</t>
  </si>
  <si>
    <t>DIG-LIM-26-35</t>
  </si>
  <si>
    <t>0.4</t>
  </si>
  <si>
    <t>Mejoras de Interfaz en Operaciones Limtek</t>
  </si>
  <si>
    <t>DIG-LIM-26-36</t>
  </si>
  <si>
    <t>Mejoras en App Operaciones Limtek</t>
  </si>
  <si>
    <t>DIG-LIM-26-37</t>
  </si>
  <si>
    <t>App Control de Operaciones</t>
  </si>
  <si>
    <t>DIG-GTA-26-38</t>
  </si>
  <si>
    <t>App Carta Fianza</t>
  </si>
  <si>
    <t>AUT-LIM-26-39</t>
  </si>
  <si>
    <t>RPA envío de exámenes médicos</t>
  </si>
  <si>
    <t>AUT-GTA-26-40</t>
  </si>
  <si>
    <t>AUT-GTA-26-41</t>
  </si>
  <si>
    <t>RPA Registro de facturas</t>
  </si>
  <si>
    <t>AUT-LIM-26-42</t>
  </si>
  <si>
    <t>RPA Carga de Operarios activos</t>
  </si>
  <si>
    <t>AUT-LIM-26-43</t>
  </si>
  <si>
    <t>RPA Carga de Clientes activos</t>
  </si>
  <si>
    <t>AUT-ROM-26-44</t>
  </si>
  <si>
    <t>Maria Torres</t>
  </si>
  <si>
    <t>RPA T-Registro ROM</t>
  </si>
  <si>
    <t>CUMPLIMIENTO%</t>
  </si>
  <si>
    <t>Se desconoce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</si>
</sst>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9" fontId="0" fillId="0" borderId="1" xfId="2" applyFont="1" applyBorder="1" applyAlignment="1">
      <alignment horizontal="center" vertical="center"/>
    </xf>
  </cellXfs>
  <cellStyles count="3">
    <cellStyle name="Hyperlink" xfId="1" xr:uid="{00000000-000B-0000-0000-000008000000}"/>
    <cellStyle name="Normal" xfId="0" builtinId="0"/>
    <cellStyle name="Porcentaje" xfId="2" builtinId="5"/>
  </cellStyles>
  <dxfs count="3"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FF9C8400"/>
      <color rgb="FFF2E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ara Aquino Guzman" id="{539BABDF-3D17-453E-BE6D-F9806E381F20}" userId="S::tamara.aquino@grupotawa.com::7732a056-e504-467c-a50b-a62cf100f38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8-10T18:02:53.70" personId="{539BABDF-3D17-453E-BE6D-F9806E381F20}" id="{872B261C-1657-48CD-8CCC-F79838B3E3A0}">
    <text>En base al informe de cierre o Notion</text>
  </threadedComment>
  <threadedComment ref="Q1" dT="2026-08-10T15:39:41.10" personId="{539BABDF-3D17-453E-BE6D-F9806E381F20}" id="{BBC3B87A-7D41-48AD-8D03-2B8F13BF0413}">
    <text>Tambien nombrado como informe de inicio</text>
  </threadedComment>
  <threadedComment ref="A6" dT="2026-08-10T18:37:00.73" personId="{539BABDF-3D17-453E-BE6D-F9806E381F20}" id="{0D6152C3-0480-4546-A519-3200D0B68E4C}">
    <text>Cambiar a AUT - mover carpeta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8915-EFEC-4CEE-9145-C32EF141494D}">
  <dimension ref="A1:W116"/>
  <sheetViews>
    <sheetView tabSelected="1" topLeftCell="E1" workbookViewId="0">
      <pane ySplit="1" topLeftCell="A90" activePane="bottomLeft" state="frozen"/>
      <selection pane="bottomLeft" activeCell="E92" sqref="E92"/>
    </sheetView>
  </sheetViews>
  <sheetFormatPr baseColWidth="10" defaultColWidth="9.1796875" defaultRowHeight="14.5" x14ac:dyDescent="0.35"/>
  <cols>
    <col min="1" max="2" width="16.1796875" style="8" customWidth="1"/>
    <col min="3" max="3" width="21" style="8" bestFit="1" customWidth="1"/>
    <col min="4" max="4" width="22.1796875" style="9" customWidth="1"/>
    <col min="5" max="5" width="19.26953125" style="9" customWidth="1"/>
    <col min="6" max="6" width="10.81640625" style="8" customWidth="1"/>
    <col min="7" max="7" width="18.1796875" style="8" customWidth="1"/>
    <col min="8" max="8" width="27.453125" style="9" bestFit="1" customWidth="1"/>
    <col min="9" max="9" width="17.1796875" style="9" bestFit="1" customWidth="1"/>
    <col min="10" max="10" width="22.26953125" style="9" customWidth="1"/>
    <col min="11" max="11" width="60.81640625" style="6" customWidth="1"/>
    <col min="12" max="12" width="16.1796875" style="6" customWidth="1"/>
    <col min="13" max="13" width="15.453125" style="13" bestFit="1" customWidth="1"/>
    <col min="14" max="14" width="15.26953125" style="8" customWidth="1"/>
    <col min="15" max="15" width="19.54296875" style="8" customWidth="1"/>
    <col min="16" max="16" width="17.7265625" style="8" customWidth="1"/>
    <col min="17" max="17" width="11" style="8" customWidth="1"/>
    <col min="18" max="18" width="20.81640625" style="8" customWidth="1"/>
    <col min="19" max="19" width="19.453125" style="8" customWidth="1"/>
    <col min="20" max="20" width="18.81640625" style="8" customWidth="1"/>
    <col min="21" max="21" width="24.26953125" style="8" customWidth="1"/>
    <col min="22" max="22" width="20.81640625" style="8" customWidth="1"/>
    <col min="23" max="23" width="72.26953125" style="16" customWidth="1"/>
  </cols>
  <sheetData>
    <row r="1" spans="1:23" x14ac:dyDescent="0.35">
      <c r="A1" s="5" t="s">
        <v>32</v>
      </c>
      <c r="B1" s="5" t="s">
        <v>2</v>
      </c>
      <c r="C1" s="5" t="s">
        <v>33</v>
      </c>
      <c r="D1" s="5" t="s">
        <v>34</v>
      </c>
      <c r="E1" s="5" t="s">
        <v>35</v>
      </c>
      <c r="F1" s="5" t="s">
        <v>0</v>
      </c>
      <c r="G1" s="5" t="s">
        <v>36</v>
      </c>
      <c r="H1" s="5" t="s">
        <v>37</v>
      </c>
      <c r="I1" s="5" t="s">
        <v>1</v>
      </c>
      <c r="J1" s="5" t="s">
        <v>38</v>
      </c>
      <c r="K1" s="5" t="s">
        <v>12</v>
      </c>
      <c r="L1" s="5" t="s">
        <v>39</v>
      </c>
      <c r="M1" s="12" t="s">
        <v>3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85" t="s">
        <v>393</v>
      </c>
      <c r="W1" s="15" t="s">
        <v>4</v>
      </c>
    </row>
    <row r="2" spans="1:23" s="3" customFormat="1" ht="29" x14ac:dyDescent="0.35">
      <c r="A2" s="28" t="s">
        <v>48</v>
      </c>
      <c r="B2" s="59" t="s">
        <v>12</v>
      </c>
      <c r="C2" s="59">
        <v>2022</v>
      </c>
      <c r="D2" s="28">
        <v>3</v>
      </c>
      <c r="E2" s="59" t="s">
        <v>49</v>
      </c>
      <c r="F2" s="28" t="s">
        <v>25</v>
      </c>
      <c r="G2" s="37" t="s">
        <v>50</v>
      </c>
      <c r="H2" s="14" t="s">
        <v>51</v>
      </c>
      <c r="I2" s="28" t="s">
        <v>52</v>
      </c>
      <c r="J2" s="55" t="s">
        <v>53</v>
      </c>
      <c r="K2" s="10" t="s">
        <v>54</v>
      </c>
      <c r="L2" s="10"/>
      <c r="M2" s="83" t="s">
        <v>245</v>
      </c>
      <c r="N2" s="28" t="s">
        <v>55</v>
      </c>
      <c r="O2" s="28" t="s">
        <v>55</v>
      </c>
      <c r="P2" s="28" t="s">
        <v>55</v>
      </c>
      <c r="Q2" s="28" t="s">
        <v>55</v>
      </c>
      <c r="R2" s="28" t="s">
        <v>55</v>
      </c>
      <c r="S2" s="28" t="s">
        <v>56</v>
      </c>
      <c r="T2" s="28" t="s">
        <v>56</v>
      </c>
      <c r="U2" s="29" t="s">
        <v>55</v>
      </c>
      <c r="V2" s="86">
        <f>IF(COUNTA(O2:S2)=0,0,COUNTIF(O2:S2,"SI")/COUNTA(O2:S2))</f>
        <v>0.8</v>
      </c>
      <c r="W2" s="11" t="s">
        <v>57</v>
      </c>
    </row>
    <row r="3" spans="1:23" x14ac:dyDescent="0.35">
      <c r="A3" s="30" t="s">
        <v>58</v>
      </c>
      <c r="B3" s="60" t="s">
        <v>12</v>
      </c>
      <c r="C3" s="60">
        <v>2022</v>
      </c>
      <c r="D3" s="30" t="s">
        <v>59</v>
      </c>
      <c r="E3" s="60" t="s">
        <v>49</v>
      </c>
      <c r="F3" s="30" t="s">
        <v>60</v>
      </c>
      <c r="G3" s="30" t="s">
        <v>11</v>
      </c>
      <c r="H3" s="30" t="s">
        <v>31</v>
      </c>
      <c r="I3" s="30" t="s">
        <v>52</v>
      </c>
      <c r="J3" s="55" t="s">
        <v>53</v>
      </c>
      <c r="K3" s="7" t="s">
        <v>61</v>
      </c>
      <c r="L3" s="7"/>
      <c r="M3" s="83" t="s">
        <v>245</v>
      </c>
      <c r="N3" s="30" t="s">
        <v>55</v>
      </c>
      <c r="O3" s="30" t="s">
        <v>55</v>
      </c>
      <c r="P3" s="30" t="s">
        <v>55</v>
      </c>
      <c r="Q3" s="30" t="s">
        <v>55</v>
      </c>
      <c r="R3" s="30" t="s">
        <v>55</v>
      </c>
      <c r="S3" s="30" t="s">
        <v>56</v>
      </c>
      <c r="T3" s="30" t="s">
        <v>56</v>
      </c>
      <c r="U3" s="31" t="s">
        <v>55</v>
      </c>
      <c r="V3" s="86">
        <f t="shared" ref="V3:V66" si="0">IF(COUNTA(O3:S3)=0,0,COUNTIF(O3:S3,"SI")/COUNTA(O3:S3))</f>
        <v>0.8</v>
      </c>
      <c r="W3" s="11" t="s">
        <v>62</v>
      </c>
    </row>
    <row r="4" spans="1:23" s="3" customFormat="1" ht="29" x14ac:dyDescent="0.35">
      <c r="A4" s="28" t="s">
        <v>63</v>
      </c>
      <c r="B4" s="59" t="s">
        <v>12</v>
      </c>
      <c r="C4" s="59">
        <v>2022</v>
      </c>
      <c r="D4" s="28" t="s">
        <v>64</v>
      </c>
      <c r="E4" s="59" t="s">
        <v>49</v>
      </c>
      <c r="F4" s="28" t="s">
        <v>60</v>
      </c>
      <c r="G4" s="28" t="s">
        <v>11</v>
      </c>
      <c r="H4" s="28" t="s">
        <v>31</v>
      </c>
      <c r="I4" s="28" t="s">
        <v>52</v>
      </c>
      <c r="J4" s="55" t="s">
        <v>53</v>
      </c>
      <c r="K4" s="10" t="s">
        <v>65</v>
      </c>
      <c r="L4" s="10"/>
      <c r="M4" s="83" t="s">
        <v>245</v>
      </c>
      <c r="N4" s="28" t="s">
        <v>55</v>
      </c>
      <c r="O4" s="28" t="s">
        <v>55</v>
      </c>
      <c r="P4" s="28" t="s">
        <v>55</v>
      </c>
      <c r="Q4" s="28" t="s">
        <v>56</v>
      </c>
      <c r="R4" s="28" t="s">
        <v>55</v>
      </c>
      <c r="S4" s="28" t="s">
        <v>56</v>
      </c>
      <c r="T4" s="28" t="s">
        <v>56</v>
      </c>
      <c r="U4" s="29" t="s">
        <v>56</v>
      </c>
      <c r="V4" s="86">
        <f t="shared" si="0"/>
        <v>0.6</v>
      </c>
      <c r="W4" s="11" t="s">
        <v>66</v>
      </c>
    </row>
    <row r="5" spans="1:23" x14ac:dyDescent="0.35">
      <c r="A5" s="28" t="s">
        <v>67</v>
      </c>
      <c r="B5" s="59" t="s">
        <v>12</v>
      </c>
      <c r="C5" s="60">
        <v>2022</v>
      </c>
      <c r="D5" s="30">
        <v>3</v>
      </c>
      <c r="E5" s="69" t="s">
        <v>49</v>
      </c>
      <c r="F5" s="30" t="s">
        <v>60</v>
      </c>
      <c r="G5" s="30" t="s">
        <v>11</v>
      </c>
      <c r="H5" s="28" t="s">
        <v>31</v>
      </c>
      <c r="I5" s="28" t="s">
        <v>52</v>
      </c>
      <c r="J5" s="55" t="s">
        <v>53</v>
      </c>
      <c r="K5" s="7" t="s">
        <v>68</v>
      </c>
      <c r="L5" s="7"/>
      <c r="M5" s="83" t="s">
        <v>245</v>
      </c>
      <c r="N5" s="30" t="s">
        <v>55</v>
      </c>
      <c r="O5" s="30" t="s">
        <v>55</v>
      </c>
      <c r="P5" s="30" t="s">
        <v>55</v>
      </c>
      <c r="Q5" s="30" t="s">
        <v>55</v>
      </c>
      <c r="R5" s="30" t="s">
        <v>55</v>
      </c>
      <c r="S5" s="30" t="s">
        <v>56</v>
      </c>
      <c r="T5" s="30" t="s">
        <v>56</v>
      </c>
      <c r="U5" s="30" t="s">
        <v>55</v>
      </c>
      <c r="V5" s="86">
        <f t="shared" si="0"/>
        <v>0.8</v>
      </c>
      <c r="W5" s="11" t="s">
        <v>69</v>
      </c>
    </row>
    <row r="6" spans="1:23" s="3" customFormat="1" ht="29" x14ac:dyDescent="0.35">
      <c r="A6" s="28" t="s">
        <v>70</v>
      </c>
      <c r="B6" s="59" t="s">
        <v>12</v>
      </c>
      <c r="C6" s="59">
        <v>2022</v>
      </c>
      <c r="D6" s="28" t="s">
        <v>30</v>
      </c>
      <c r="E6" s="59" t="s">
        <v>49</v>
      </c>
      <c r="F6" s="28" t="s">
        <v>25</v>
      </c>
      <c r="G6" s="37" t="s">
        <v>50</v>
      </c>
      <c r="H6" s="14" t="s">
        <v>51</v>
      </c>
      <c r="I6" s="28" t="s">
        <v>52</v>
      </c>
      <c r="J6" s="55" t="s">
        <v>53</v>
      </c>
      <c r="K6" s="10" t="s">
        <v>71</v>
      </c>
      <c r="L6" s="10"/>
      <c r="M6" s="83" t="s">
        <v>245</v>
      </c>
      <c r="N6" s="28" t="s">
        <v>55</v>
      </c>
      <c r="O6" s="28" t="s">
        <v>55</v>
      </c>
      <c r="P6" s="28" t="s">
        <v>55</v>
      </c>
      <c r="Q6" s="28" t="s">
        <v>56</v>
      </c>
      <c r="R6" s="28" t="s">
        <v>56</v>
      </c>
      <c r="S6" s="28" t="s">
        <v>56</v>
      </c>
      <c r="T6" s="28" t="s">
        <v>56</v>
      </c>
      <c r="U6" s="28" t="s">
        <v>56</v>
      </c>
      <c r="V6" s="86">
        <f t="shared" si="0"/>
        <v>0.4</v>
      </c>
      <c r="W6" s="32" t="s">
        <v>72</v>
      </c>
    </row>
    <row r="7" spans="1:23" x14ac:dyDescent="0.35">
      <c r="A7" s="28" t="s">
        <v>73</v>
      </c>
      <c r="B7" s="59" t="s">
        <v>12</v>
      </c>
      <c r="C7" s="60">
        <v>2022</v>
      </c>
      <c r="D7" s="30" t="s">
        <v>74</v>
      </c>
      <c r="E7" s="59" t="s">
        <v>49</v>
      </c>
      <c r="F7" s="30" t="s">
        <v>21</v>
      </c>
      <c r="G7" s="30" t="s">
        <v>75</v>
      </c>
      <c r="H7" s="30" t="s">
        <v>76</v>
      </c>
      <c r="I7" s="30" t="s">
        <v>52</v>
      </c>
      <c r="J7" s="73" t="s">
        <v>77</v>
      </c>
      <c r="K7" s="7" t="s">
        <v>78</v>
      </c>
      <c r="L7" s="7"/>
      <c r="M7" s="83" t="s">
        <v>245</v>
      </c>
      <c r="N7" s="30" t="s">
        <v>56</v>
      </c>
      <c r="O7" s="30" t="s">
        <v>56</v>
      </c>
      <c r="P7" s="30" t="s">
        <v>56</v>
      </c>
      <c r="Q7" s="30" t="s">
        <v>56</v>
      </c>
      <c r="R7" s="30" t="s">
        <v>55</v>
      </c>
      <c r="S7" s="30" t="s">
        <v>55</v>
      </c>
      <c r="T7" s="30" t="s">
        <v>56</v>
      </c>
      <c r="U7" s="30" t="s">
        <v>55</v>
      </c>
      <c r="V7" s="86">
        <f t="shared" si="0"/>
        <v>0.4</v>
      </c>
      <c r="W7" s="32" t="s">
        <v>79</v>
      </c>
    </row>
    <row r="8" spans="1:23" s="4" customFormat="1" ht="29" x14ac:dyDescent="0.35">
      <c r="A8" s="39" t="s">
        <v>80</v>
      </c>
      <c r="B8" s="64" t="s">
        <v>12</v>
      </c>
      <c r="C8" s="64">
        <v>2023</v>
      </c>
      <c r="D8" s="39" t="s">
        <v>81</v>
      </c>
      <c r="E8" s="64" t="s">
        <v>29</v>
      </c>
      <c r="F8" s="39" t="s">
        <v>25</v>
      </c>
      <c r="G8" s="72" t="s">
        <v>82</v>
      </c>
      <c r="H8" s="39" t="s">
        <v>83</v>
      </c>
      <c r="I8" s="39" t="s">
        <v>84</v>
      </c>
      <c r="J8" s="39" t="s">
        <v>85</v>
      </c>
      <c r="K8" s="24" t="s">
        <v>86</v>
      </c>
      <c r="L8" s="24"/>
      <c r="M8" s="83" t="s">
        <v>245</v>
      </c>
      <c r="N8" s="44" t="s">
        <v>56</v>
      </c>
      <c r="O8" s="44" t="s">
        <v>56</v>
      </c>
      <c r="P8" s="28" t="s">
        <v>55</v>
      </c>
      <c r="Q8" s="28" t="s">
        <v>55</v>
      </c>
      <c r="R8" s="28" t="s">
        <v>55</v>
      </c>
      <c r="S8" s="28" t="s">
        <v>55</v>
      </c>
      <c r="T8" s="71" t="s">
        <v>56</v>
      </c>
      <c r="U8" s="44" t="s">
        <v>56</v>
      </c>
      <c r="V8" s="86">
        <f t="shared" si="0"/>
        <v>0.8</v>
      </c>
      <c r="W8" s="44"/>
    </row>
    <row r="9" spans="1:23" s="3" customFormat="1" ht="29" x14ac:dyDescent="0.35">
      <c r="A9" s="28" t="s">
        <v>87</v>
      </c>
      <c r="B9" s="59" t="s">
        <v>12</v>
      </c>
      <c r="C9" s="59">
        <v>2023</v>
      </c>
      <c r="D9" s="28" t="s">
        <v>88</v>
      </c>
      <c r="E9" s="59" t="s">
        <v>49</v>
      </c>
      <c r="F9" s="28" t="s">
        <v>21</v>
      </c>
      <c r="G9" s="37" t="s">
        <v>89</v>
      </c>
      <c r="H9" s="28" t="s">
        <v>90</v>
      </c>
      <c r="I9" s="28" t="s">
        <v>52</v>
      </c>
      <c r="J9" s="55" t="s">
        <v>53</v>
      </c>
      <c r="K9" s="10" t="s">
        <v>91</v>
      </c>
      <c r="L9" s="22"/>
      <c r="M9" s="83" t="s">
        <v>245</v>
      </c>
      <c r="N9" s="28" t="s">
        <v>56</v>
      </c>
      <c r="O9" s="28" t="s">
        <v>55</v>
      </c>
      <c r="P9" s="28" t="s">
        <v>55</v>
      </c>
      <c r="Q9" s="28" t="s">
        <v>55</v>
      </c>
      <c r="R9" s="28" t="s">
        <v>55</v>
      </c>
      <c r="S9" s="28" t="s">
        <v>55</v>
      </c>
      <c r="T9" s="28" t="s">
        <v>56</v>
      </c>
      <c r="U9" s="28" t="s">
        <v>56</v>
      </c>
      <c r="V9" s="86">
        <f>IF(COUNTA(O9:S9)=0,0,COUNTIF(O9:S9,"SI")/COUNTA(O9:S9))</f>
        <v>1</v>
      </c>
      <c r="W9" s="32" t="s">
        <v>92</v>
      </c>
    </row>
    <row r="10" spans="1:23" s="3" customFormat="1" ht="29" x14ac:dyDescent="0.35">
      <c r="A10" s="28" t="s">
        <v>93</v>
      </c>
      <c r="B10" s="59" t="s">
        <v>12</v>
      </c>
      <c r="C10" s="59">
        <v>2023</v>
      </c>
      <c r="D10" s="28" t="s">
        <v>94</v>
      </c>
      <c r="E10" s="59" t="s">
        <v>49</v>
      </c>
      <c r="F10" s="28" t="s">
        <v>60</v>
      </c>
      <c r="G10" s="37" t="s">
        <v>95</v>
      </c>
      <c r="H10" s="28" t="s">
        <v>96</v>
      </c>
      <c r="I10" s="28" t="s">
        <v>52</v>
      </c>
      <c r="J10" s="55" t="s">
        <v>53</v>
      </c>
      <c r="K10" s="10" t="s">
        <v>97</v>
      </c>
      <c r="L10" s="10"/>
      <c r="M10" s="83" t="s">
        <v>245</v>
      </c>
      <c r="N10" s="28" t="s">
        <v>56</v>
      </c>
      <c r="O10" s="28" t="s">
        <v>55</v>
      </c>
      <c r="P10" s="28" t="s">
        <v>55</v>
      </c>
      <c r="Q10" s="28" t="s">
        <v>56</v>
      </c>
      <c r="R10" s="28" t="s">
        <v>55</v>
      </c>
      <c r="S10" s="28" t="s">
        <v>55</v>
      </c>
      <c r="T10" s="28" t="s">
        <v>56</v>
      </c>
      <c r="U10" s="28" t="s">
        <v>56</v>
      </c>
      <c r="V10" s="86">
        <f t="shared" si="0"/>
        <v>0.8</v>
      </c>
      <c r="W10" s="32"/>
    </row>
    <row r="11" spans="1:23" s="3" customFormat="1" ht="29" x14ac:dyDescent="0.35">
      <c r="A11" s="28" t="s">
        <v>98</v>
      </c>
      <c r="B11" s="59" t="s">
        <v>99</v>
      </c>
      <c r="C11" s="59">
        <v>2023</v>
      </c>
      <c r="D11" s="28" t="s">
        <v>100</v>
      </c>
      <c r="E11" s="59" t="s">
        <v>49</v>
      </c>
      <c r="F11" s="28" t="s">
        <v>60</v>
      </c>
      <c r="G11" s="28" t="s">
        <v>101</v>
      </c>
      <c r="H11" s="17" t="s">
        <v>102</v>
      </c>
      <c r="I11" s="28" t="s">
        <v>52</v>
      </c>
      <c r="J11" s="55" t="s">
        <v>53</v>
      </c>
      <c r="K11" s="10" t="s">
        <v>103</v>
      </c>
      <c r="L11" s="10"/>
      <c r="M11" s="83" t="s">
        <v>245</v>
      </c>
      <c r="N11" s="28" t="s">
        <v>55</v>
      </c>
      <c r="O11" s="28" t="s">
        <v>55</v>
      </c>
      <c r="P11" s="28" t="s">
        <v>55</v>
      </c>
      <c r="Q11" s="28" t="s">
        <v>55</v>
      </c>
      <c r="R11" s="28" t="s">
        <v>55</v>
      </c>
      <c r="S11" s="28" t="s">
        <v>55</v>
      </c>
      <c r="T11" s="28" t="s">
        <v>56</v>
      </c>
      <c r="U11" s="28" t="s">
        <v>56</v>
      </c>
      <c r="V11" s="86">
        <f t="shared" si="0"/>
        <v>1</v>
      </c>
      <c r="W11" s="32" t="s">
        <v>104</v>
      </c>
    </row>
    <row r="12" spans="1:23" x14ac:dyDescent="0.35">
      <c r="A12" s="28" t="s">
        <v>105</v>
      </c>
      <c r="B12" s="59" t="s">
        <v>99</v>
      </c>
      <c r="C12" s="60">
        <v>2023</v>
      </c>
      <c r="D12" s="30" t="s">
        <v>106</v>
      </c>
      <c r="E12" s="59" t="s">
        <v>49</v>
      </c>
      <c r="F12" s="30" t="s">
        <v>25</v>
      </c>
      <c r="G12" s="30" t="s">
        <v>19</v>
      </c>
      <c r="H12" s="18" t="s">
        <v>107</v>
      </c>
      <c r="I12" s="33" t="s">
        <v>52</v>
      </c>
      <c r="J12" s="55" t="s">
        <v>53</v>
      </c>
      <c r="K12" s="7" t="s">
        <v>108</v>
      </c>
      <c r="L12" s="7"/>
      <c r="M12" s="83" t="s">
        <v>245</v>
      </c>
      <c r="N12" s="30" t="s">
        <v>56</v>
      </c>
      <c r="O12" s="30" t="s">
        <v>55</v>
      </c>
      <c r="P12" s="30" t="s">
        <v>55</v>
      </c>
      <c r="Q12" s="30" t="s">
        <v>55</v>
      </c>
      <c r="R12" s="30" t="s">
        <v>55</v>
      </c>
      <c r="S12" s="30" t="s">
        <v>55</v>
      </c>
      <c r="T12" s="30" t="s">
        <v>56</v>
      </c>
      <c r="U12" s="30" t="s">
        <v>56</v>
      </c>
      <c r="V12" s="86">
        <f t="shared" si="0"/>
        <v>1</v>
      </c>
      <c r="W12" s="32" t="s">
        <v>109</v>
      </c>
    </row>
    <row r="13" spans="1:23" x14ac:dyDescent="0.35">
      <c r="A13" s="28" t="s">
        <v>110</v>
      </c>
      <c r="B13" s="59" t="s">
        <v>99</v>
      </c>
      <c r="C13" s="60">
        <v>2023</v>
      </c>
      <c r="D13" s="30" t="s">
        <v>111</v>
      </c>
      <c r="E13" s="60" t="s">
        <v>49</v>
      </c>
      <c r="F13" s="30" t="s">
        <v>60</v>
      </c>
      <c r="G13" s="30" t="s">
        <v>18</v>
      </c>
      <c r="H13" s="17" t="s">
        <v>112</v>
      </c>
      <c r="I13" s="30" t="s">
        <v>52</v>
      </c>
      <c r="J13" s="55" t="s">
        <v>53</v>
      </c>
      <c r="K13" s="7" t="s">
        <v>113</v>
      </c>
      <c r="L13" s="7"/>
      <c r="M13" s="83" t="s">
        <v>245</v>
      </c>
      <c r="N13" s="30" t="s">
        <v>56</v>
      </c>
      <c r="O13" s="30" t="s">
        <v>55</v>
      </c>
      <c r="P13" s="30" t="s">
        <v>55</v>
      </c>
      <c r="Q13" s="30" t="s">
        <v>55</v>
      </c>
      <c r="R13" s="30" t="s">
        <v>55</v>
      </c>
      <c r="S13" s="30" t="s">
        <v>55</v>
      </c>
      <c r="T13" s="30" t="s">
        <v>55</v>
      </c>
      <c r="U13" s="30" t="s">
        <v>56</v>
      </c>
      <c r="V13" s="86">
        <f t="shared" si="0"/>
        <v>1</v>
      </c>
      <c r="W13" s="32" t="s">
        <v>114</v>
      </c>
    </row>
    <row r="14" spans="1:23" x14ac:dyDescent="0.35">
      <c r="A14" s="28" t="s">
        <v>115</v>
      </c>
      <c r="B14" s="59" t="s">
        <v>99</v>
      </c>
      <c r="C14" s="60">
        <v>2023</v>
      </c>
      <c r="D14" s="30">
        <v>1</v>
      </c>
      <c r="E14" s="60" t="s">
        <v>49</v>
      </c>
      <c r="F14" s="30" t="s">
        <v>60</v>
      </c>
      <c r="G14" s="30" t="s">
        <v>11</v>
      </c>
      <c r="H14" s="19" t="s">
        <v>116</v>
      </c>
      <c r="I14" s="33" t="s">
        <v>52</v>
      </c>
      <c r="J14" s="55" t="s">
        <v>53</v>
      </c>
      <c r="K14" s="7" t="s">
        <v>117</v>
      </c>
      <c r="L14" s="7"/>
      <c r="M14" s="83" t="s">
        <v>245</v>
      </c>
      <c r="N14" s="30" t="s">
        <v>56</v>
      </c>
      <c r="O14" s="30" t="s">
        <v>55</v>
      </c>
      <c r="P14" s="30" t="s">
        <v>55</v>
      </c>
      <c r="Q14" s="30" t="s">
        <v>56</v>
      </c>
      <c r="R14" s="30" t="s">
        <v>55</v>
      </c>
      <c r="S14" s="30" t="s">
        <v>55</v>
      </c>
      <c r="T14" s="30" t="s">
        <v>56</v>
      </c>
      <c r="U14" s="30" t="s">
        <v>56</v>
      </c>
      <c r="V14" s="86">
        <f t="shared" si="0"/>
        <v>0.8</v>
      </c>
      <c r="W14" s="32" t="s">
        <v>118</v>
      </c>
    </row>
    <row r="15" spans="1:23" x14ac:dyDescent="0.35">
      <c r="A15" s="28" t="s">
        <v>119</v>
      </c>
      <c r="B15" s="59" t="s">
        <v>99</v>
      </c>
      <c r="C15" s="60">
        <v>2023</v>
      </c>
      <c r="D15" s="28" t="s">
        <v>120</v>
      </c>
      <c r="E15" s="70" t="s">
        <v>49</v>
      </c>
      <c r="F15" s="39" t="s">
        <v>60</v>
      </c>
      <c r="G15" s="30" t="s">
        <v>18</v>
      </c>
      <c r="H15" s="30" t="s">
        <v>112</v>
      </c>
      <c r="I15" s="30" t="s">
        <v>52</v>
      </c>
      <c r="J15" s="39" t="s">
        <v>53</v>
      </c>
      <c r="K15" s="7" t="s">
        <v>121</v>
      </c>
      <c r="L15" s="7"/>
      <c r="M15" s="83" t="s">
        <v>245</v>
      </c>
      <c r="N15" s="30" t="s">
        <v>56</v>
      </c>
      <c r="O15" s="30" t="s">
        <v>56</v>
      </c>
      <c r="P15" s="30" t="s">
        <v>56</v>
      </c>
      <c r="Q15" s="30" t="s">
        <v>56</v>
      </c>
      <c r="R15" s="30" t="s">
        <v>56</v>
      </c>
      <c r="S15" s="30" t="s">
        <v>56</v>
      </c>
      <c r="T15" s="30" t="s">
        <v>56</v>
      </c>
      <c r="U15" s="30" t="s">
        <v>56</v>
      </c>
      <c r="V15" s="86">
        <f t="shared" si="0"/>
        <v>0</v>
      </c>
      <c r="W15" s="32" t="s">
        <v>122</v>
      </c>
    </row>
    <row r="16" spans="1:23" s="3" customFormat="1" x14ac:dyDescent="0.35">
      <c r="A16" s="28" t="s">
        <v>123</v>
      </c>
      <c r="B16" s="59" t="s">
        <v>99</v>
      </c>
      <c r="C16" s="59">
        <v>2023</v>
      </c>
      <c r="D16" s="28" t="s">
        <v>124</v>
      </c>
      <c r="E16" s="59" t="s">
        <v>49</v>
      </c>
      <c r="F16" s="28" t="s">
        <v>60</v>
      </c>
      <c r="G16" s="28" t="s">
        <v>11</v>
      </c>
      <c r="H16" s="20" t="s">
        <v>116</v>
      </c>
      <c r="I16" s="28" t="s">
        <v>52</v>
      </c>
      <c r="J16" s="55" t="s">
        <v>53</v>
      </c>
      <c r="K16" s="10" t="s">
        <v>125</v>
      </c>
      <c r="L16" s="10"/>
      <c r="M16" s="83" t="s">
        <v>245</v>
      </c>
      <c r="N16" s="28" t="s">
        <v>56</v>
      </c>
      <c r="O16" s="28" t="s">
        <v>55</v>
      </c>
      <c r="P16" s="28" t="s">
        <v>55</v>
      </c>
      <c r="Q16" s="28" t="s">
        <v>56</v>
      </c>
      <c r="R16" s="28" t="s">
        <v>55</v>
      </c>
      <c r="S16" s="28" t="s">
        <v>55</v>
      </c>
      <c r="T16" s="28" t="s">
        <v>56</v>
      </c>
      <c r="U16" s="28" t="s">
        <v>56</v>
      </c>
      <c r="V16" s="86">
        <f t="shared" si="0"/>
        <v>0.8</v>
      </c>
      <c r="W16" s="32" t="s">
        <v>126</v>
      </c>
    </row>
    <row r="17" spans="1:23" s="4" customFormat="1" ht="29" x14ac:dyDescent="0.35">
      <c r="A17" s="78" t="s">
        <v>127</v>
      </c>
      <c r="B17" s="79" t="s">
        <v>12</v>
      </c>
      <c r="C17" s="79">
        <v>2023</v>
      </c>
      <c r="D17" s="53">
        <v>1</v>
      </c>
      <c r="E17" s="79" t="s">
        <v>29</v>
      </c>
      <c r="F17" s="39" t="s">
        <v>25</v>
      </c>
      <c r="G17" s="72" t="s">
        <v>82</v>
      </c>
      <c r="H17" s="77" t="s">
        <v>128</v>
      </c>
      <c r="I17" s="39" t="s">
        <v>84</v>
      </c>
      <c r="J17" s="39" t="s">
        <v>85</v>
      </c>
      <c r="K17" s="14" t="s">
        <v>129</v>
      </c>
      <c r="L17" s="24"/>
      <c r="M17" s="83" t="s">
        <v>245</v>
      </c>
      <c r="N17" s="44" t="s">
        <v>56</v>
      </c>
      <c r="O17" s="28" t="s">
        <v>55</v>
      </c>
      <c r="P17" s="28" t="s">
        <v>55</v>
      </c>
      <c r="Q17" s="28" t="s">
        <v>55</v>
      </c>
      <c r="R17" s="28" t="s">
        <v>55</v>
      </c>
      <c r="S17" s="28" t="s">
        <v>55</v>
      </c>
      <c r="T17" s="71" t="s">
        <v>56</v>
      </c>
      <c r="U17" s="44" t="s">
        <v>56</v>
      </c>
      <c r="V17" s="86">
        <f t="shared" si="0"/>
        <v>1</v>
      </c>
      <c r="W17" s="53"/>
    </row>
    <row r="18" spans="1:23" x14ac:dyDescent="0.35">
      <c r="A18" s="28" t="s">
        <v>130</v>
      </c>
      <c r="B18" s="61" t="s">
        <v>12</v>
      </c>
      <c r="C18" s="59">
        <v>2023</v>
      </c>
      <c r="D18" s="28" t="s">
        <v>131</v>
      </c>
      <c r="E18" s="59" t="s">
        <v>29</v>
      </c>
      <c r="F18" s="30" t="s">
        <v>25</v>
      </c>
      <c r="G18" s="30" t="s">
        <v>132</v>
      </c>
      <c r="H18" s="30"/>
      <c r="I18" s="30" t="s">
        <v>84</v>
      </c>
      <c r="J18" s="73" t="s">
        <v>85</v>
      </c>
      <c r="K18" s="7" t="s">
        <v>133</v>
      </c>
      <c r="L18" s="7"/>
      <c r="M18" s="83" t="s">
        <v>245</v>
      </c>
      <c r="N18" s="28" t="s">
        <v>56</v>
      </c>
      <c r="O18" s="28" t="s">
        <v>55</v>
      </c>
      <c r="P18" s="28" t="s">
        <v>55</v>
      </c>
      <c r="Q18" s="28" t="s">
        <v>56</v>
      </c>
      <c r="R18" s="28" t="s">
        <v>55</v>
      </c>
      <c r="S18" s="28" t="s">
        <v>56</v>
      </c>
      <c r="T18" s="28" t="s">
        <v>56</v>
      </c>
      <c r="U18" s="28" t="s">
        <v>56</v>
      </c>
      <c r="V18" s="86">
        <f t="shared" si="0"/>
        <v>0.6</v>
      </c>
      <c r="W18" s="32"/>
    </row>
    <row r="19" spans="1:23" s="3" customFormat="1" ht="29" x14ac:dyDescent="0.35">
      <c r="A19" s="28" t="s">
        <v>134</v>
      </c>
      <c r="B19" s="59" t="s">
        <v>12</v>
      </c>
      <c r="C19" s="59">
        <v>2023</v>
      </c>
      <c r="D19" s="28">
        <v>10</v>
      </c>
      <c r="E19" s="59" t="s">
        <v>49</v>
      </c>
      <c r="F19" s="28" t="s">
        <v>60</v>
      </c>
      <c r="G19" s="28" t="s">
        <v>20</v>
      </c>
      <c r="H19" s="28" t="s">
        <v>27</v>
      </c>
      <c r="I19" s="28" t="s">
        <v>84</v>
      </c>
      <c r="J19" s="28" t="s">
        <v>85</v>
      </c>
      <c r="K19" s="10" t="s">
        <v>135</v>
      </c>
      <c r="L19" s="10"/>
      <c r="M19" s="83" t="s">
        <v>245</v>
      </c>
      <c r="N19" s="28" t="s">
        <v>56</v>
      </c>
      <c r="O19" s="28" t="s">
        <v>56</v>
      </c>
      <c r="P19" s="28" t="s">
        <v>56</v>
      </c>
      <c r="Q19" s="28" t="s">
        <v>55</v>
      </c>
      <c r="R19" s="28" t="s">
        <v>56</v>
      </c>
      <c r="S19" s="28" t="s">
        <v>55</v>
      </c>
      <c r="T19" s="28" t="s">
        <v>56</v>
      </c>
      <c r="U19" s="28" t="s">
        <v>56</v>
      </c>
      <c r="V19" s="86">
        <f t="shared" si="0"/>
        <v>0.4</v>
      </c>
      <c r="W19" s="32"/>
    </row>
    <row r="20" spans="1:23" s="3" customFormat="1" ht="29" x14ac:dyDescent="0.35">
      <c r="A20" s="28" t="s">
        <v>136</v>
      </c>
      <c r="B20" s="59" t="s">
        <v>12</v>
      </c>
      <c r="C20" s="59">
        <v>2023</v>
      </c>
      <c r="D20" s="28" t="s">
        <v>137</v>
      </c>
      <c r="E20" s="59" t="s">
        <v>5</v>
      </c>
      <c r="F20" s="28" t="s">
        <v>138</v>
      </c>
      <c r="G20" s="28" t="s">
        <v>16</v>
      </c>
      <c r="H20" s="20" t="s">
        <v>139</v>
      </c>
      <c r="I20" s="28" t="s">
        <v>84</v>
      </c>
      <c r="J20" s="28" t="s">
        <v>85</v>
      </c>
      <c r="K20" s="10" t="s">
        <v>140</v>
      </c>
      <c r="L20" s="10"/>
      <c r="M20" s="83" t="s">
        <v>245</v>
      </c>
      <c r="N20" s="28" t="s">
        <v>56</v>
      </c>
      <c r="O20" s="28" t="s">
        <v>55</v>
      </c>
      <c r="P20" s="28" t="s">
        <v>55</v>
      </c>
      <c r="Q20" s="28" t="s">
        <v>56</v>
      </c>
      <c r="R20" s="28" t="s">
        <v>56</v>
      </c>
      <c r="S20" s="28" t="s">
        <v>56</v>
      </c>
      <c r="T20" s="28" t="s">
        <v>56</v>
      </c>
      <c r="U20" s="28" t="s">
        <v>56</v>
      </c>
      <c r="V20" s="86">
        <f t="shared" si="0"/>
        <v>0.4</v>
      </c>
      <c r="W20" s="32"/>
    </row>
    <row r="21" spans="1:23" s="3" customFormat="1" ht="29" x14ac:dyDescent="0.35">
      <c r="A21" s="28" t="s">
        <v>141</v>
      </c>
      <c r="B21" s="59" t="s">
        <v>99</v>
      </c>
      <c r="C21" s="59">
        <v>2023</v>
      </c>
      <c r="D21" s="28" t="s">
        <v>142</v>
      </c>
      <c r="E21" s="59" t="s">
        <v>49</v>
      </c>
      <c r="F21" s="28" t="s">
        <v>60</v>
      </c>
      <c r="G21" s="28" t="s">
        <v>9</v>
      </c>
      <c r="H21" s="28"/>
      <c r="I21" s="28" t="s">
        <v>84</v>
      </c>
      <c r="J21" s="39" t="s">
        <v>143</v>
      </c>
      <c r="K21" s="10" t="s">
        <v>144</v>
      </c>
      <c r="L21" s="10"/>
      <c r="M21" s="83" t="s">
        <v>245</v>
      </c>
      <c r="N21" s="28" t="s">
        <v>56</v>
      </c>
      <c r="O21" s="28" t="s">
        <v>56</v>
      </c>
      <c r="P21" s="28" t="s">
        <v>56</v>
      </c>
      <c r="Q21" s="28" t="s">
        <v>56</v>
      </c>
      <c r="R21" s="28" t="s">
        <v>55</v>
      </c>
      <c r="S21" s="28" t="s">
        <v>55</v>
      </c>
      <c r="T21" s="28" t="s">
        <v>55</v>
      </c>
      <c r="U21" s="28" t="s">
        <v>56</v>
      </c>
      <c r="V21" s="86">
        <f t="shared" si="0"/>
        <v>0.4</v>
      </c>
      <c r="W21" s="32" t="s">
        <v>145</v>
      </c>
    </row>
    <row r="22" spans="1:23" x14ac:dyDescent="0.35">
      <c r="A22" s="28" t="s">
        <v>146</v>
      </c>
      <c r="B22" s="59" t="s">
        <v>99</v>
      </c>
      <c r="C22" s="59">
        <v>2023</v>
      </c>
      <c r="D22" s="30" t="s">
        <v>106</v>
      </c>
      <c r="E22" s="60" t="s">
        <v>49</v>
      </c>
      <c r="F22" s="30" t="s">
        <v>25</v>
      </c>
      <c r="G22" s="30" t="s">
        <v>13</v>
      </c>
      <c r="H22" s="30" t="s">
        <v>147</v>
      </c>
      <c r="I22" s="30" t="s">
        <v>84</v>
      </c>
      <c r="J22" s="74" t="s">
        <v>85</v>
      </c>
      <c r="K22" s="7" t="s">
        <v>148</v>
      </c>
      <c r="L22" s="7"/>
      <c r="M22" s="83" t="s">
        <v>245</v>
      </c>
      <c r="N22" s="30" t="s">
        <v>56</v>
      </c>
      <c r="O22" s="30" t="s">
        <v>55</v>
      </c>
      <c r="P22" s="30" t="s">
        <v>55</v>
      </c>
      <c r="Q22" s="30" t="s">
        <v>55</v>
      </c>
      <c r="R22" s="30" t="s">
        <v>55</v>
      </c>
      <c r="S22" s="30" t="s">
        <v>55</v>
      </c>
      <c r="T22" s="30" t="s">
        <v>56</v>
      </c>
      <c r="U22" s="30" t="s">
        <v>55</v>
      </c>
      <c r="V22" s="86">
        <f t="shared" si="0"/>
        <v>1</v>
      </c>
      <c r="W22" s="32" t="s">
        <v>149</v>
      </c>
    </row>
    <row r="23" spans="1:23" s="3" customFormat="1" ht="29" x14ac:dyDescent="0.35">
      <c r="A23" s="34" t="s">
        <v>150</v>
      </c>
      <c r="B23" s="62" t="s">
        <v>12</v>
      </c>
      <c r="C23" s="62">
        <v>2023</v>
      </c>
      <c r="D23" s="34">
        <v>6</v>
      </c>
      <c r="E23" s="62" t="s">
        <v>49</v>
      </c>
      <c r="F23" s="34" t="s">
        <v>25</v>
      </c>
      <c r="G23" s="34" t="s">
        <v>13</v>
      </c>
      <c r="H23" s="34" t="s">
        <v>151</v>
      </c>
      <c r="I23" s="34" t="s">
        <v>84</v>
      </c>
      <c r="J23" s="34" t="s">
        <v>85</v>
      </c>
      <c r="K23" s="21" t="s">
        <v>152</v>
      </c>
      <c r="L23" s="21"/>
      <c r="M23" s="83" t="s">
        <v>245</v>
      </c>
      <c r="N23" s="34" t="s">
        <v>56</v>
      </c>
      <c r="O23" s="34" t="s">
        <v>55</v>
      </c>
      <c r="P23" s="34" t="s">
        <v>55</v>
      </c>
      <c r="Q23" s="34" t="s">
        <v>55</v>
      </c>
      <c r="R23" s="34" t="s">
        <v>55</v>
      </c>
      <c r="S23" s="34" t="s">
        <v>56</v>
      </c>
      <c r="T23" s="34" t="s">
        <v>56</v>
      </c>
      <c r="U23" s="34" t="s">
        <v>56</v>
      </c>
      <c r="V23" s="86">
        <f t="shared" si="0"/>
        <v>0.8</v>
      </c>
      <c r="W23" s="35" t="s">
        <v>153</v>
      </c>
    </row>
    <row r="24" spans="1:23" s="4" customFormat="1" ht="29" x14ac:dyDescent="0.35">
      <c r="A24" s="28" t="s">
        <v>154</v>
      </c>
      <c r="B24" s="62" t="s">
        <v>99</v>
      </c>
      <c r="C24" s="62">
        <v>2023</v>
      </c>
      <c r="D24" s="28">
        <v>2</v>
      </c>
      <c r="E24" s="62" t="s">
        <v>49</v>
      </c>
      <c r="F24" s="28" t="s">
        <v>25</v>
      </c>
      <c r="G24" s="28" t="s">
        <v>13</v>
      </c>
      <c r="H24" s="28" t="s">
        <v>155</v>
      </c>
      <c r="I24" s="28" t="s">
        <v>84</v>
      </c>
      <c r="J24" s="28" t="s">
        <v>156</v>
      </c>
      <c r="K24" s="10" t="s">
        <v>157</v>
      </c>
      <c r="L24" s="10"/>
      <c r="M24" s="83" t="s">
        <v>245</v>
      </c>
      <c r="N24" s="28" t="s">
        <v>56</v>
      </c>
      <c r="O24" s="28" t="s">
        <v>55</v>
      </c>
      <c r="P24" s="28" t="s">
        <v>55</v>
      </c>
      <c r="Q24" s="28" t="s">
        <v>55</v>
      </c>
      <c r="R24" s="28" t="s">
        <v>55</v>
      </c>
      <c r="S24" s="28" t="s">
        <v>56</v>
      </c>
      <c r="T24" s="28" t="s">
        <v>56</v>
      </c>
      <c r="U24" s="28" t="s">
        <v>56</v>
      </c>
      <c r="V24" s="86">
        <f t="shared" si="0"/>
        <v>0.8</v>
      </c>
      <c r="W24" s="28"/>
    </row>
    <row r="25" spans="1:23" s="4" customFormat="1" ht="29" x14ac:dyDescent="0.35">
      <c r="A25" s="28" t="s">
        <v>158</v>
      </c>
      <c r="B25" s="62" t="s">
        <v>12</v>
      </c>
      <c r="C25" s="62">
        <v>2023</v>
      </c>
      <c r="D25" s="28" t="s">
        <v>159</v>
      </c>
      <c r="E25" s="59" t="s">
        <v>29</v>
      </c>
      <c r="F25" s="28" t="s">
        <v>25</v>
      </c>
      <c r="G25" s="28" t="s">
        <v>13</v>
      </c>
      <c r="H25" s="37" t="s">
        <v>160</v>
      </c>
      <c r="I25" s="28" t="s">
        <v>84</v>
      </c>
      <c r="J25" s="75" t="s">
        <v>85</v>
      </c>
      <c r="K25" s="10" t="s">
        <v>161</v>
      </c>
      <c r="L25" s="10"/>
      <c r="M25" s="83" t="s">
        <v>245</v>
      </c>
      <c r="N25" s="28" t="s">
        <v>56</v>
      </c>
      <c r="O25" s="28" t="s">
        <v>55</v>
      </c>
      <c r="P25" s="28" t="s">
        <v>55</v>
      </c>
      <c r="Q25" s="28" t="s">
        <v>55</v>
      </c>
      <c r="R25" s="28" t="s">
        <v>55</v>
      </c>
      <c r="S25" s="28" t="s">
        <v>55</v>
      </c>
      <c r="T25" s="28" t="s">
        <v>56</v>
      </c>
      <c r="U25" s="28" t="s">
        <v>56</v>
      </c>
      <c r="V25" s="86">
        <f t="shared" si="0"/>
        <v>1</v>
      </c>
      <c r="W25" s="36"/>
    </row>
    <row r="26" spans="1:23" s="4" customFormat="1" ht="29" x14ac:dyDescent="0.35">
      <c r="A26" s="28" t="s">
        <v>162</v>
      </c>
      <c r="B26" s="62" t="s">
        <v>12</v>
      </c>
      <c r="C26" s="62">
        <v>2023</v>
      </c>
      <c r="D26" s="28" t="s">
        <v>163</v>
      </c>
      <c r="E26" s="59" t="s">
        <v>29</v>
      </c>
      <c r="F26" s="28" t="s">
        <v>25</v>
      </c>
      <c r="G26" s="28" t="s">
        <v>13</v>
      </c>
      <c r="H26" s="28"/>
      <c r="I26" s="28" t="s">
        <v>84</v>
      </c>
      <c r="J26" s="75" t="s">
        <v>143</v>
      </c>
      <c r="K26" s="10" t="s">
        <v>164</v>
      </c>
      <c r="L26" s="10"/>
      <c r="M26" s="28" t="s">
        <v>165</v>
      </c>
      <c r="N26" s="28" t="s">
        <v>56</v>
      </c>
      <c r="O26" s="28" t="s">
        <v>56</v>
      </c>
      <c r="P26" s="28" t="s">
        <v>55</v>
      </c>
      <c r="Q26" s="28" t="s">
        <v>55</v>
      </c>
      <c r="R26" s="28" t="s">
        <v>56</v>
      </c>
      <c r="S26" s="28" t="s">
        <v>56</v>
      </c>
      <c r="T26" s="28" t="s">
        <v>56</v>
      </c>
      <c r="U26" s="28" t="s">
        <v>56</v>
      </c>
      <c r="V26" s="86">
        <f t="shared" si="0"/>
        <v>0.4</v>
      </c>
      <c r="W26" s="76" t="s">
        <v>166</v>
      </c>
    </row>
    <row r="27" spans="1:23" s="4" customFormat="1" x14ac:dyDescent="0.35">
      <c r="A27" s="28" t="s">
        <v>167</v>
      </c>
      <c r="B27" s="62" t="s">
        <v>12</v>
      </c>
      <c r="C27" s="62">
        <v>2023</v>
      </c>
      <c r="D27" s="28" t="s">
        <v>168</v>
      </c>
      <c r="E27" s="59" t="s">
        <v>169</v>
      </c>
      <c r="F27" s="28" t="s">
        <v>138</v>
      </c>
      <c r="G27" s="28" t="s">
        <v>170</v>
      </c>
      <c r="H27" s="28" t="s">
        <v>171</v>
      </c>
      <c r="I27" s="28" t="s">
        <v>172</v>
      </c>
      <c r="J27" s="75" t="s">
        <v>173</v>
      </c>
      <c r="K27" s="10" t="s">
        <v>174</v>
      </c>
      <c r="L27" s="10"/>
      <c r="M27" s="83" t="s">
        <v>245</v>
      </c>
      <c r="N27" s="28" t="s">
        <v>56</v>
      </c>
      <c r="O27" s="28" t="s">
        <v>56</v>
      </c>
      <c r="P27" s="28" t="s">
        <v>55</v>
      </c>
      <c r="Q27" s="28" t="s">
        <v>55</v>
      </c>
      <c r="R27" s="28" t="s">
        <v>55</v>
      </c>
      <c r="S27" s="28" t="s">
        <v>56</v>
      </c>
      <c r="T27" s="28" t="s">
        <v>56</v>
      </c>
      <c r="U27" s="28" t="s">
        <v>56</v>
      </c>
      <c r="V27" s="86">
        <f t="shared" si="0"/>
        <v>0.6</v>
      </c>
      <c r="W27" t="s">
        <v>175</v>
      </c>
    </row>
    <row r="28" spans="1:23" s="4" customFormat="1" ht="29" x14ac:dyDescent="0.35">
      <c r="A28" s="28" t="s">
        <v>176</v>
      </c>
      <c r="B28" s="62" t="s">
        <v>17</v>
      </c>
      <c r="C28" s="62">
        <v>2023</v>
      </c>
      <c r="D28" s="28" t="s">
        <v>177</v>
      </c>
      <c r="E28" s="59" t="s">
        <v>5</v>
      </c>
      <c r="F28" s="28" t="s">
        <v>25</v>
      </c>
      <c r="G28" s="28" t="s">
        <v>30</v>
      </c>
      <c r="H28" s="28" t="s">
        <v>178</v>
      </c>
      <c r="I28" s="28" t="s">
        <v>179</v>
      </c>
      <c r="J28" s="75" t="s">
        <v>180</v>
      </c>
      <c r="K28" s="10" t="s">
        <v>181</v>
      </c>
      <c r="L28" s="10"/>
      <c r="M28" s="83" t="s">
        <v>245</v>
      </c>
      <c r="N28" s="28" t="s">
        <v>56</v>
      </c>
      <c r="O28" s="28" t="s">
        <v>56</v>
      </c>
      <c r="P28" s="28" t="s">
        <v>56</v>
      </c>
      <c r="Q28" s="28" t="s">
        <v>56</v>
      </c>
      <c r="R28" s="28" t="s">
        <v>55</v>
      </c>
      <c r="S28" s="28" t="s">
        <v>56</v>
      </c>
      <c r="T28" s="28" t="s">
        <v>56</v>
      </c>
      <c r="U28" s="28" t="s">
        <v>56</v>
      </c>
      <c r="V28" s="86">
        <f t="shared" si="0"/>
        <v>0.2</v>
      </c>
      <c r="W28" s="1" t="s">
        <v>182</v>
      </c>
    </row>
    <row r="29" spans="1:23" s="4" customFormat="1" x14ac:dyDescent="0.35">
      <c r="A29" s="28" t="s">
        <v>183</v>
      </c>
      <c r="B29" s="62" t="s">
        <v>12</v>
      </c>
      <c r="C29" s="62">
        <v>2023</v>
      </c>
      <c r="D29" s="28" t="s">
        <v>94</v>
      </c>
      <c r="E29" s="59" t="s">
        <v>5</v>
      </c>
      <c r="F29" s="28" t="s">
        <v>138</v>
      </c>
      <c r="G29" s="28" t="s">
        <v>16</v>
      </c>
      <c r="H29" s="28" t="s">
        <v>184</v>
      </c>
      <c r="I29" s="28" t="s">
        <v>84</v>
      </c>
      <c r="J29" s="75" t="s">
        <v>85</v>
      </c>
      <c r="K29" s="10" t="s">
        <v>185</v>
      </c>
      <c r="L29" s="10"/>
      <c r="M29" s="83" t="s">
        <v>245</v>
      </c>
      <c r="N29" s="28" t="s">
        <v>56</v>
      </c>
      <c r="O29" s="28" t="s">
        <v>55</v>
      </c>
      <c r="P29" s="28" t="s">
        <v>55</v>
      </c>
      <c r="Q29" s="28" t="s">
        <v>55</v>
      </c>
      <c r="R29" s="28" t="s">
        <v>55</v>
      </c>
      <c r="S29" s="28" t="s">
        <v>55</v>
      </c>
      <c r="T29" s="28" t="s">
        <v>56</v>
      </c>
      <c r="U29" s="28" t="s">
        <v>55</v>
      </c>
      <c r="V29" s="86">
        <f t="shared" si="0"/>
        <v>1</v>
      </c>
      <c r="W29" s="1"/>
    </row>
    <row r="30" spans="1:23" s="4" customFormat="1" x14ac:dyDescent="0.35">
      <c r="A30" s="34" t="s">
        <v>186</v>
      </c>
      <c r="B30" s="62" t="s">
        <v>12</v>
      </c>
      <c r="C30" s="62">
        <v>2023</v>
      </c>
      <c r="D30" s="34" t="s">
        <v>187</v>
      </c>
      <c r="E30" s="62" t="s">
        <v>49</v>
      </c>
      <c r="F30" s="34" t="s">
        <v>25</v>
      </c>
      <c r="G30" s="34" t="s">
        <v>19</v>
      </c>
      <c r="H30" s="34" t="s">
        <v>107</v>
      </c>
      <c r="I30" s="34" t="s">
        <v>52</v>
      </c>
      <c r="J30" s="34" t="s">
        <v>53</v>
      </c>
      <c r="K30" s="21" t="s">
        <v>188</v>
      </c>
      <c r="L30" s="21"/>
      <c r="M30" s="83" t="s">
        <v>245</v>
      </c>
      <c r="N30" s="28" t="s">
        <v>56</v>
      </c>
      <c r="O30" s="28" t="s">
        <v>55</v>
      </c>
      <c r="P30" s="28" t="s">
        <v>55</v>
      </c>
      <c r="Q30" s="28" t="s">
        <v>55</v>
      </c>
      <c r="R30" s="28" t="s">
        <v>55</v>
      </c>
      <c r="S30" s="28" t="s">
        <v>55</v>
      </c>
      <c r="T30" s="28" t="s">
        <v>56</v>
      </c>
      <c r="U30" s="28" t="s">
        <v>56</v>
      </c>
      <c r="V30" s="86">
        <f t="shared" si="0"/>
        <v>1</v>
      </c>
      <c r="W30" s="1"/>
    </row>
    <row r="31" spans="1:23" s="4" customFormat="1" ht="29" x14ac:dyDescent="0.35">
      <c r="A31" s="28" t="s">
        <v>189</v>
      </c>
      <c r="B31" s="59" t="s">
        <v>12</v>
      </c>
      <c r="C31" s="59">
        <v>2024</v>
      </c>
      <c r="D31" s="28" t="s">
        <v>190</v>
      </c>
      <c r="E31" s="59" t="s">
        <v>49</v>
      </c>
      <c r="F31" s="28" t="s">
        <v>60</v>
      </c>
      <c r="G31" s="37" t="s">
        <v>89</v>
      </c>
      <c r="H31" s="37" t="s">
        <v>90</v>
      </c>
      <c r="I31" s="28" t="s">
        <v>52</v>
      </c>
      <c r="J31" s="28" t="s">
        <v>53</v>
      </c>
      <c r="K31" s="10" t="s">
        <v>191</v>
      </c>
      <c r="L31" s="10"/>
      <c r="M31" s="83" t="s">
        <v>245</v>
      </c>
      <c r="N31" s="28" t="s">
        <v>56</v>
      </c>
      <c r="O31" s="28" t="s">
        <v>55</v>
      </c>
      <c r="P31" s="28" t="s">
        <v>55</v>
      </c>
      <c r="Q31" s="28" t="s">
        <v>55</v>
      </c>
      <c r="R31" s="28" t="s">
        <v>55</v>
      </c>
      <c r="S31" s="28" t="s">
        <v>56</v>
      </c>
      <c r="T31" s="28" t="s">
        <v>55</v>
      </c>
      <c r="U31" s="28" t="s">
        <v>56</v>
      </c>
      <c r="V31" s="86">
        <f t="shared" si="0"/>
        <v>0.8</v>
      </c>
      <c r="W31" s="28"/>
    </row>
    <row r="32" spans="1:23" s="4" customFormat="1" ht="29" x14ac:dyDescent="0.35">
      <c r="A32" s="28" t="s">
        <v>192</v>
      </c>
      <c r="B32" s="59" t="s">
        <v>12</v>
      </c>
      <c r="C32" s="59">
        <v>2024</v>
      </c>
      <c r="D32" s="28">
        <v>1</v>
      </c>
      <c r="E32" s="59" t="s">
        <v>49</v>
      </c>
      <c r="F32" s="28" t="s">
        <v>60</v>
      </c>
      <c r="G32" s="37" t="s">
        <v>89</v>
      </c>
      <c r="H32" s="28" t="s">
        <v>193</v>
      </c>
      <c r="I32" s="28" t="s">
        <v>52</v>
      </c>
      <c r="J32" s="28" t="s">
        <v>53</v>
      </c>
      <c r="K32" s="22" t="s">
        <v>194</v>
      </c>
      <c r="L32" s="22"/>
      <c r="M32" s="83" t="s">
        <v>245</v>
      </c>
      <c r="N32" s="28" t="s">
        <v>56</v>
      </c>
      <c r="O32" s="28" t="s">
        <v>55</v>
      </c>
      <c r="P32" s="28" t="s">
        <v>55</v>
      </c>
      <c r="Q32" s="28" t="s">
        <v>55</v>
      </c>
      <c r="R32" s="28" t="s">
        <v>55</v>
      </c>
      <c r="S32" s="28" t="s">
        <v>55</v>
      </c>
      <c r="T32" s="28" t="s">
        <v>56</v>
      </c>
      <c r="U32" s="28" t="s">
        <v>56</v>
      </c>
      <c r="V32" s="86">
        <f t="shared" si="0"/>
        <v>1</v>
      </c>
      <c r="W32" s="32"/>
    </row>
    <row r="33" spans="1:23" s="4" customFormat="1" ht="29" x14ac:dyDescent="0.35">
      <c r="A33" s="34" t="s">
        <v>195</v>
      </c>
      <c r="B33" s="62" t="s">
        <v>12</v>
      </c>
      <c r="C33" s="59">
        <v>2024</v>
      </c>
      <c r="D33" s="28">
        <v>1</v>
      </c>
      <c r="E33" s="59" t="s">
        <v>49</v>
      </c>
      <c r="F33" s="28" t="s">
        <v>60</v>
      </c>
      <c r="G33" s="28" t="s">
        <v>196</v>
      </c>
      <c r="H33" s="28" t="s">
        <v>197</v>
      </c>
      <c r="I33" s="28" t="s">
        <v>52</v>
      </c>
      <c r="J33" s="55" t="s">
        <v>53</v>
      </c>
      <c r="K33" s="10" t="s">
        <v>198</v>
      </c>
      <c r="L33" s="10"/>
      <c r="M33" s="83" t="s">
        <v>245</v>
      </c>
      <c r="N33" s="28" t="s">
        <v>56</v>
      </c>
      <c r="O33" s="28" t="s">
        <v>55</v>
      </c>
      <c r="P33" s="28" t="s">
        <v>55</v>
      </c>
      <c r="Q33" s="28" t="s">
        <v>55</v>
      </c>
      <c r="R33" s="28" t="s">
        <v>56</v>
      </c>
      <c r="S33" s="28" t="s">
        <v>56</v>
      </c>
      <c r="T33" s="28" t="s">
        <v>56</v>
      </c>
      <c r="U33" s="28" t="s">
        <v>56</v>
      </c>
      <c r="V33" s="86">
        <f t="shared" si="0"/>
        <v>0.6</v>
      </c>
      <c r="W33" s="32"/>
    </row>
    <row r="34" spans="1:23" s="4" customFormat="1" ht="29" x14ac:dyDescent="0.35">
      <c r="A34" s="28" t="s">
        <v>199</v>
      </c>
      <c r="B34" s="63" t="s">
        <v>99</v>
      </c>
      <c r="C34" s="63">
        <v>2024</v>
      </c>
      <c r="D34" s="28">
        <v>2</v>
      </c>
      <c r="E34" s="59" t="s">
        <v>200</v>
      </c>
      <c r="F34" s="28" t="s">
        <v>60</v>
      </c>
      <c r="G34" s="37" t="s">
        <v>201</v>
      </c>
      <c r="H34" s="28" t="s">
        <v>202</v>
      </c>
      <c r="I34" s="28" t="s">
        <v>52</v>
      </c>
      <c r="J34" s="55" t="s">
        <v>53</v>
      </c>
      <c r="K34" s="10" t="s">
        <v>203</v>
      </c>
      <c r="L34" s="10"/>
      <c r="M34" s="83" t="s">
        <v>245</v>
      </c>
      <c r="N34" s="28" t="s">
        <v>56</v>
      </c>
      <c r="O34" s="28" t="s">
        <v>55</v>
      </c>
      <c r="P34" s="28" t="s">
        <v>55</v>
      </c>
      <c r="Q34" s="28" t="s">
        <v>56</v>
      </c>
      <c r="R34" s="28" t="s">
        <v>55</v>
      </c>
      <c r="S34" s="28" t="s">
        <v>55</v>
      </c>
      <c r="T34" s="28" t="s">
        <v>56</v>
      </c>
      <c r="U34" s="28" t="s">
        <v>56</v>
      </c>
      <c r="V34" s="86">
        <f t="shared" si="0"/>
        <v>0.8</v>
      </c>
      <c r="W34" s="32"/>
    </row>
    <row r="35" spans="1:23" s="4" customFormat="1" x14ac:dyDescent="0.35">
      <c r="A35" s="34" t="s">
        <v>204</v>
      </c>
      <c r="B35" s="61" t="s">
        <v>99</v>
      </c>
      <c r="C35" s="61">
        <v>2024</v>
      </c>
      <c r="D35" s="34" t="s">
        <v>205</v>
      </c>
      <c r="E35" s="62" t="s">
        <v>49</v>
      </c>
      <c r="F35" s="34" t="s">
        <v>60</v>
      </c>
      <c r="G35" s="34" t="s">
        <v>18</v>
      </c>
      <c r="H35" s="34" t="s">
        <v>112</v>
      </c>
      <c r="I35" s="34" t="s">
        <v>52</v>
      </c>
      <c r="J35" s="55" t="s">
        <v>53</v>
      </c>
      <c r="K35" s="21" t="s">
        <v>206</v>
      </c>
      <c r="L35" s="21"/>
      <c r="M35" s="83" t="s">
        <v>245</v>
      </c>
      <c r="N35" s="34" t="s">
        <v>56</v>
      </c>
      <c r="O35" s="34" t="s">
        <v>55</v>
      </c>
      <c r="P35" s="34" t="s">
        <v>55</v>
      </c>
      <c r="Q35" s="34" t="s">
        <v>55</v>
      </c>
      <c r="R35" s="34" t="s">
        <v>55</v>
      </c>
      <c r="S35" s="34" t="s">
        <v>55</v>
      </c>
      <c r="T35" s="34" t="s">
        <v>55</v>
      </c>
      <c r="U35" s="34" t="s">
        <v>56</v>
      </c>
      <c r="V35" s="86">
        <f t="shared" si="0"/>
        <v>1</v>
      </c>
      <c r="W35" s="35" t="s">
        <v>207</v>
      </c>
    </row>
    <row r="36" spans="1:23" s="4" customFormat="1" ht="43.5" x14ac:dyDescent="0.35">
      <c r="A36" s="28" t="s">
        <v>208</v>
      </c>
      <c r="B36" s="64" t="s">
        <v>12</v>
      </c>
      <c r="C36" s="59">
        <v>2024</v>
      </c>
      <c r="D36" s="28">
        <v>1</v>
      </c>
      <c r="E36" s="59" t="s">
        <v>5</v>
      </c>
      <c r="F36" s="28" t="s">
        <v>25</v>
      </c>
      <c r="G36" s="28" t="s">
        <v>9</v>
      </c>
      <c r="H36" s="37" t="s">
        <v>209</v>
      </c>
      <c r="I36" s="28" t="s">
        <v>84</v>
      </c>
      <c r="J36" s="39" t="s">
        <v>85</v>
      </c>
      <c r="K36" s="10" t="s">
        <v>210</v>
      </c>
      <c r="L36" s="10"/>
      <c r="M36" s="83" t="s">
        <v>245</v>
      </c>
      <c r="N36" s="28" t="s">
        <v>56</v>
      </c>
      <c r="O36" s="28" t="s">
        <v>55</v>
      </c>
      <c r="P36" s="28" t="s">
        <v>55</v>
      </c>
      <c r="Q36" s="28" t="s">
        <v>55</v>
      </c>
      <c r="R36" s="28" t="s">
        <v>55</v>
      </c>
      <c r="S36" s="28" t="s">
        <v>55</v>
      </c>
      <c r="T36" s="28" t="s">
        <v>56</v>
      </c>
      <c r="U36" s="28" t="s">
        <v>56</v>
      </c>
      <c r="V36" s="86">
        <f t="shared" si="0"/>
        <v>1</v>
      </c>
      <c r="W36" s="28"/>
    </row>
    <row r="37" spans="1:23" s="4" customFormat="1" x14ac:dyDescent="0.35">
      <c r="A37" s="28" t="s">
        <v>211</v>
      </c>
      <c r="B37" s="61" t="s">
        <v>12</v>
      </c>
      <c r="C37" s="61">
        <v>2024</v>
      </c>
      <c r="D37" s="28" t="s">
        <v>30</v>
      </c>
      <c r="E37" s="59" t="s">
        <v>29</v>
      </c>
      <c r="F37" s="28" t="s">
        <v>60</v>
      </c>
      <c r="G37" s="28" t="s">
        <v>30</v>
      </c>
      <c r="H37" s="28"/>
      <c r="I37" s="28" t="s">
        <v>84</v>
      </c>
      <c r="J37" s="41" t="s">
        <v>85</v>
      </c>
      <c r="K37" s="22" t="s">
        <v>212</v>
      </c>
      <c r="L37" s="22"/>
      <c r="M37" s="83" t="s">
        <v>245</v>
      </c>
      <c r="N37" s="28" t="s">
        <v>56</v>
      </c>
      <c r="O37" s="28" t="s">
        <v>56</v>
      </c>
      <c r="P37" s="28" t="s">
        <v>56</v>
      </c>
      <c r="Q37" s="28" t="s">
        <v>56</v>
      </c>
      <c r="R37" s="28" t="s">
        <v>56</v>
      </c>
      <c r="S37" s="28" t="s">
        <v>56</v>
      </c>
      <c r="T37" s="28" t="s">
        <v>56</v>
      </c>
      <c r="U37" s="28" t="s">
        <v>56</v>
      </c>
      <c r="V37" s="86">
        <f t="shared" si="0"/>
        <v>0</v>
      </c>
      <c r="W37" s="32"/>
    </row>
    <row r="38" spans="1:23" s="4" customFormat="1" ht="43.5" x14ac:dyDescent="0.35">
      <c r="A38" s="34" t="s">
        <v>213</v>
      </c>
      <c r="B38" s="62" t="s">
        <v>12</v>
      </c>
      <c r="C38" s="62">
        <v>2024</v>
      </c>
      <c r="D38" s="28" t="s">
        <v>214</v>
      </c>
      <c r="E38" s="62" t="s">
        <v>5</v>
      </c>
      <c r="F38" s="34" t="s">
        <v>60</v>
      </c>
      <c r="G38" s="38" t="s">
        <v>215</v>
      </c>
      <c r="H38" s="38" t="s">
        <v>216</v>
      </c>
      <c r="I38" s="34" t="s">
        <v>84</v>
      </c>
      <c r="J38" s="44" t="s">
        <v>85</v>
      </c>
      <c r="K38" s="23" t="s">
        <v>217</v>
      </c>
      <c r="L38" s="23"/>
      <c r="M38" s="83" t="s">
        <v>245</v>
      </c>
      <c r="N38" s="34" t="s">
        <v>56</v>
      </c>
      <c r="O38" s="28" t="s">
        <v>55</v>
      </c>
      <c r="P38" s="28" t="s">
        <v>55</v>
      </c>
      <c r="Q38" s="28" t="s">
        <v>55</v>
      </c>
      <c r="R38" s="28" t="s">
        <v>55</v>
      </c>
      <c r="S38" s="28" t="s">
        <v>55</v>
      </c>
      <c r="T38" s="34" t="s">
        <v>56</v>
      </c>
      <c r="U38" s="34" t="s">
        <v>56</v>
      </c>
      <c r="V38" s="86">
        <f t="shared" si="0"/>
        <v>1</v>
      </c>
      <c r="W38" s="38"/>
    </row>
    <row r="39" spans="1:23" s="4" customFormat="1" ht="29" x14ac:dyDescent="0.35">
      <c r="A39" s="44" t="s">
        <v>218</v>
      </c>
      <c r="B39" s="64" t="s">
        <v>12</v>
      </c>
      <c r="C39" s="64">
        <v>2024</v>
      </c>
      <c r="D39" s="39"/>
      <c r="E39" s="64" t="s">
        <v>169</v>
      </c>
      <c r="F39" s="56" t="s">
        <v>60</v>
      </c>
      <c r="G39" s="72" t="s">
        <v>219</v>
      </c>
      <c r="H39" s="39"/>
      <c r="I39" s="39" t="s">
        <v>84</v>
      </c>
      <c r="J39" s="39" t="s">
        <v>85</v>
      </c>
      <c r="K39" s="24" t="s">
        <v>220</v>
      </c>
      <c r="L39" s="24"/>
      <c r="M39" s="83" t="s">
        <v>245</v>
      </c>
      <c r="N39" s="44" t="s">
        <v>56</v>
      </c>
      <c r="O39" s="44" t="s">
        <v>56</v>
      </c>
      <c r="P39" s="44" t="s">
        <v>56</v>
      </c>
      <c r="Q39" s="44" t="s">
        <v>56</v>
      </c>
      <c r="R39" s="44" t="s">
        <v>56</v>
      </c>
      <c r="S39" s="44" t="s">
        <v>56</v>
      </c>
      <c r="T39" s="44" t="s">
        <v>56</v>
      </c>
      <c r="U39" s="44" t="s">
        <v>56</v>
      </c>
      <c r="V39" s="86">
        <f t="shared" si="0"/>
        <v>0</v>
      </c>
      <c r="W39" s="39"/>
    </row>
    <row r="40" spans="1:23" s="4" customFormat="1" x14ac:dyDescent="0.35">
      <c r="A40" s="44" t="s">
        <v>221</v>
      </c>
      <c r="B40" s="67" t="s">
        <v>99</v>
      </c>
      <c r="C40" s="67">
        <v>2024</v>
      </c>
      <c r="D40" s="39"/>
      <c r="E40" s="67" t="s">
        <v>49</v>
      </c>
      <c r="F40" s="58" t="s">
        <v>60</v>
      </c>
      <c r="G40" s="44" t="s">
        <v>222</v>
      </c>
      <c r="H40" s="44"/>
      <c r="I40" s="43" t="s">
        <v>84</v>
      </c>
      <c r="J40" s="44" t="s">
        <v>85</v>
      </c>
      <c r="K40" s="57" t="s">
        <v>223</v>
      </c>
      <c r="L40" s="57"/>
      <c r="M40" s="83" t="s">
        <v>245</v>
      </c>
      <c r="N40" s="43" t="s">
        <v>56</v>
      </c>
      <c r="O40" s="43" t="s">
        <v>56</v>
      </c>
      <c r="P40" s="43" t="s">
        <v>56</v>
      </c>
      <c r="Q40" s="43" t="s">
        <v>56</v>
      </c>
      <c r="R40" s="43" t="s">
        <v>56</v>
      </c>
      <c r="S40" s="43" t="s">
        <v>56</v>
      </c>
      <c r="T40" s="43" t="s">
        <v>56</v>
      </c>
      <c r="U40" s="43" t="s">
        <v>56</v>
      </c>
      <c r="V40" s="86">
        <f t="shared" si="0"/>
        <v>0</v>
      </c>
      <c r="W40" s="44"/>
    </row>
    <row r="41" spans="1:23" s="4" customFormat="1" x14ac:dyDescent="0.35">
      <c r="A41" s="44" t="s">
        <v>224</v>
      </c>
      <c r="B41" s="67" t="s">
        <v>12</v>
      </c>
      <c r="C41" s="67">
        <v>2024</v>
      </c>
      <c r="D41" s="39">
        <v>2</v>
      </c>
      <c r="E41" s="67" t="s">
        <v>200</v>
      </c>
      <c r="F41" s="58" t="s">
        <v>60</v>
      </c>
      <c r="G41" s="44" t="s">
        <v>13</v>
      </c>
      <c r="H41" s="39" t="s">
        <v>225</v>
      </c>
      <c r="I41" s="43" t="s">
        <v>52</v>
      </c>
      <c r="J41" s="39" t="s">
        <v>53</v>
      </c>
      <c r="K41" s="57" t="s">
        <v>226</v>
      </c>
      <c r="L41" s="57"/>
      <c r="M41" s="83" t="s">
        <v>245</v>
      </c>
      <c r="N41" s="44" t="s">
        <v>56</v>
      </c>
      <c r="O41" s="39" t="s">
        <v>55</v>
      </c>
      <c r="P41" s="39" t="s">
        <v>55</v>
      </c>
      <c r="Q41" s="39" t="s">
        <v>55</v>
      </c>
      <c r="R41" s="39" t="s">
        <v>55</v>
      </c>
      <c r="S41" s="43" t="s">
        <v>56</v>
      </c>
      <c r="T41" s="43" t="s">
        <v>56</v>
      </c>
      <c r="U41" s="39" t="s">
        <v>55</v>
      </c>
      <c r="V41" s="86">
        <f t="shared" si="0"/>
        <v>0.8</v>
      </c>
      <c r="W41" s="44"/>
    </row>
    <row r="42" spans="1:23" s="4" customFormat="1" ht="29" x14ac:dyDescent="0.35">
      <c r="A42" s="44" t="s">
        <v>227</v>
      </c>
      <c r="B42" s="67" t="s">
        <v>12</v>
      </c>
      <c r="C42" s="67">
        <v>2024</v>
      </c>
      <c r="D42" s="53" t="s">
        <v>124</v>
      </c>
      <c r="E42" s="67" t="s">
        <v>200</v>
      </c>
      <c r="F42" s="56" t="s">
        <v>60</v>
      </c>
      <c r="G42" s="80" t="s">
        <v>228</v>
      </c>
      <c r="H42" s="39" t="s">
        <v>229</v>
      </c>
      <c r="I42" s="44" t="s">
        <v>84</v>
      </c>
      <c r="J42" s="44" t="s">
        <v>85</v>
      </c>
      <c r="K42" s="57" t="s">
        <v>230</v>
      </c>
      <c r="L42" s="57"/>
      <c r="M42" s="83" t="s">
        <v>245</v>
      </c>
      <c r="N42" s="44" t="s">
        <v>56</v>
      </c>
      <c r="O42" s="39" t="s">
        <v>55</v>
      </c>
      <c r="P42" s="39" t="s">
        <v>55</v>
      </c>
      <c r="Q42" s="39" t="s">
        <v>55</v>
      </c>
      <c r="R42" s="39" t="s">
        <v>55</v>
      </c>
      <c r="S42" s="44" t="s">
        <v>56</v>
      </c>
      <c r="T42" s="44" t="s">
        <v>56</v>
      </c>
      <c r="U42" s="44" t="s">
        <v>56</v>
      </c>
      <c r="V42" s="86">
        <f t="shared" si="0"/>
        <v>0.8</v>
      </c>
      <c r="W42" s="44"/>
    </row>
    <row r="43" spans="1:23" s="4" customFormat="1" ht="29" x14ac:dyDescent="0.35">
      <c r="A43" s="44" t="s">
        <v>231</v>
      </c>
      <c r="B43" s="67" t="s">
        <v>12</v>
      </c>
      <c r="C43" s="67">
        <v>2024</v>
      </c>
      <c r="D43" s="39" t="s">
        <v>232</v>
      </c>
      <c r="E43" s="67" t="s">
        <v>5</v>
      </c>
      <c r="F43" s="56" t="s">
        <v>25</v>
      </c>
      <c r="G43" s="80" t="s">
        <v>7</v>
      </c>
      <c r="H43" s="39" t="s">
        <v>233</v>
      </c>
      <c r="I43" s="44" t="s">
        <v>84</v>
      </c>
      <c r="J43" s="44" t="s">
        <v>85</v>
      </c>
      <c r="K43" s="57" t="s">
        <v>234</v>
      </c>
      <c r="L43" s="57"/>
      <c r="M43" s="83" t="s">
        <v>245</v>
      </c>
      <c r="N43" s="44" t="s">
        <v>56</v>
      </c>
      <c r="O43" s="39" t="s">
        <v>55</v>
      </c>
      <c r="P43" s="39" t="s">
        <v>55</v>
      </c>
      <c r="Q43" s="39" t="s">
        <v>55</v>
      </c>
      <c r="R43" s="44" t="s">
        <v>56</v>
      </c>
      <c r="S43" s="44" t="s">
        <v>56</v>
      </c>
      <c r="T43" s="44" t="s">
        <v>56</v>
      </c>
      <c r="U43" s="44" t="s">
        <v>56</v>
      </c>
      <c r="V43" s="86">
        <f t="shared" si="0"/>
        <v>0.6</v>
      </c>
      <c r="W43" s="44"/>
    </row>
    <row r="44" spans="1:23" s="4" customFormat="1" ht="29" x14ac:dyDescent="0.35">
      <c r="A44" s="44" t="s">
        <v>235</v>
      </c>
      <c r="B44" s="67" t="s">
        <v>12</v>
      </c>
      <c r="C44" s="67">
        <v>2024</v>
      </c>
      <c r="D44" s="53">
        <v>1</v>
      </c>
      <c r="E44" s="67" t="s">
        <v>29</v>
      </c>
      <c r="F44" s="56" t="s">
        <v>21</v>
      </c>
      <c r="G44" s="80" t="s">
        <v>228</v>
      </c>
      <c r="H44" s="39" t="s">
        <v>229</v>
      </c>
      <c r="I44" s="44" t="s">
        <v>84</v>
      </c>
      <c r="J44" s="44" t="s">
        <v>85</v>
      </c>
      <c r="K44" s="57" t="s">
        <v>236</v>
      </c>
      <c r="L44" s="57"/>
      <c r="M44" s="83" t="s">
        <v>245</v>
      </c>
      <c r="N44" s="44" t="s">
        <v>56</v>
      </c>
      <c r="O44" s="39" t="s">
        <v>55</v>
      </c>
      <c r="P44" s="39" t="s">
        <v>55</v>
      </c>
      <c r="Q44" s="39" t="s">
        <v>55</v>
      </c>
      <c r="R44" s="39" t="s">
        <v>55</v>
      </c>
      <c r="S44" s="44" t="s">
        <v>56</v>
      </c>
      <c r="T44" s="44" t="s">
        <v>56</v>
      </c>
      <c r="U44" s="44" t="s">
        <v>56</v>
      </c>
      <c r="V44" s="86">
        <f t="shared" si="0"/>
        <v>0.8</v>
      </c>
      <c r="W44" s="44"/>
    </row>
    <row r="45" spans="1:23" s="4" customFormat="1" x14ac:dyDescent="0.35">
      <c r="A45" s="44" t="s">
        <v>237</v>
      </c>
      <c r="B45" s="67" t="s">
        <v>12</v>
      </c>
      <c r="C45" s="67">
        <v>2024</v>
      </c>
      <c r="D45" s="39" t="s">
        <v>238</v>
      </c>
      <c r="E45" s="67" t="s">
        <v>29</v>
      </c>
      <c r="F45" s="56" t="s">
        <v>60</v>
      </c>
      <c r="G45" s="80" t="s">
        <v>239</v>
      </c>
      <c r="H45" s="39" t="s">
        <v>240</v>
      </c>
      <c r="I45" s="44" t="s">
        <v>84</v>
      </c>
      <c r="J45" s="44" t="s">
        <v>85</v>
      </c>
      <c r="K45" s="2" t="s">
        <v>241</v>
      </c>
      <c r="L45" s="57"/>
      <c r="M45" s="83" t="s">
        <v>245</v>
      </c>
      <c r="N45" s="44" t="s">
        <v>56</v>
      </c>
      <c r="O45" s="44" t="s">
        <v>56</v>
      </c>
      <c r="P45" s="28" t="s">
        <v>55</v>
      </c>
      <c r="Q45" s="28" t="s">
        <v>55</v>
      </c>
      <c r="R45" s="28" t="s">
        <v>55</v>
      </c>
      <c r="S45" s="28" t="s">
        <v>55</v>
      </c>
      <c r="T45" s="44" t="s">
        <v>56</v>
      </c>
      <c r="U45" s="44" t="s">
        <v>56</v>
      </c>
      <c r="V45" s="86">
        <f t="shared" si="0"/>
        <v>0.8</v>
      </c>
      <c r="W45" s="44"/>
    </row>
    <row r="46" spans="1:23" s="4" customFormat="1" x14ac:dyDescent="0.35">
      <c r="A46" s="44" t="s">
        <v>242</v>
      </c>
      <c r="B46" s="67" t="s">
        <v>17</v>
      </c>
      <c r="C46" s="67">
        <v>2024</v>
      </c>
      <c r="D46" s="53" t="s">
        <v>243</v>
      </c>
      <c r="E46" s="67" t="s">
        <v>49</v>
      </c>
      <c r="F46" s="56" t="s">
        <v>60</v>
      </c>
      <c r="G46" s="80" t="s">
        <v>6</v>
      </c>
      <c r="H46" s="39" t="s">
        <v>139</v>
      </c>
      <c r="I46" s="28" t="s">
        <v>179</v>
      </c>
      <c r="J46" s="44" t="s">
        <v>180</v>
      </c>
      <c r="K46" s="2" t="s">
        <v>244</v>
      </c>
      <c r="L46" s="57"/>
      <c r="M46" s="83" t="s">
        <v>245</v>
      </c>
      <c r="N46" s="44" t="s">
        <v>56</v>
      </c>
      <c r="O46" s="44" t="s">
        <v>56</v>
      </c>
      <c r="P46" s="44" t="s">
        <v>56</v>
      </c>
      <c r="Q46" s="44" t="s">
        <v>56</v>
      </c>
      <c r="R46" s="44" t="s">
        <v>56</v>
      </c>
      <c r="S46" s="44" t="s">
        <v>56</v>
      </c>
      <c r="T46" s="44" t="s">
        <v>56</v>
      </c>
      <c r="U46" s="44" t="s">
        <v>56</v>
      </c>
      <c r="V46" s="86">
        <f t="shared" si="0"/>
        <v>0</v>
      </c>
      <c r="W46" s="44" t="s">
        <v>246</v>
      </c>
    </row>
    <row r="47" spans="1:23" s="4" customFormat="1" x14ac:dyDescent="0.35">
      <c r="A47" s="44" t="s">
        <v>247</v>
      </c>
      <c r="B47" s="67" t="s">
        <v>12</v>
      </c>
      <c r="C47" s="67">
        <v>2024</v>
      </c>
      <c r="D47" s="39" t="s">
        <v>159</v>
      </c>
      <c r="E47" s="67" t="s">
        <v>29</v>
      </c>
      <c r="F47" s="56" t="s">
        <v>25</v>
      </c>
      <c r="G47" s="80" t="s">
        <v>248</v>
      </c>
      <c r="H47" s="39" t="s">
        <v>249</v>
      </c>
      <c r="I47" s="53" t="s">
        <v>84</v>
      </c>
      <c r="J47" s="44" t="s">
        <v>85</v>
      </c>
      <c r="K47" s="2" t="s">
        <v>250</v>
      </c>
      <c r="L47" s="57"/>
      <c r="M47" s="83" t="s">
        <v>245</v>
      </c>
      <c r="N47" s="44" t="s">
        <v>56</v>
      </c>
      <c r="O47" s="39" t="s">
        <v>55</v>
      </c>
      <c r="P47" s="39" t="s">
        <v>55</v>
      </c>
      <c r="Q47" s="39" t="s">
        <v>55</v>
      </c>
      <c r="R47" s="39" t="s">
        <v>55</v>
      </c>
      <c r="S47" s="39" t="s">
        <v>55</v>
      </c>
      <c r="T47" s="44" t="s">
        <v>56</v>
      </c>
      <c r="U47" s="44" t="s">
        <v>56</v>
      </c>
      <c r="V47" s="86">
        <f t="shared" si="0"/>
        <v>1</v>
      </c>
      <c r="W47" s="44"/>
    </row>
    <row r="48" spans="1:23" s="4" customFormat="1" ht="29" x14ac:dyDescent="0.35">
      <c r="A48" s="39" t="s">
        <v>251</v>
      </c>
      <c r="B48" s="64" t="s">
        <v>12</v>
      </c>
      <c r="C48" s="64">
        <v>2025</v>
      </c>
      <c r="D48" s="28" t="s">
        <v>30</v>
      </c>
      <c r="E48" s="64" t="s">
        <v>5</v>
      </c>
      <c r="F48" s="39" t="s">
        <v>60</v>
      </c>
      <c r="G48" s="39" t="s">
        <v>18</v>
      </c>
      <c r="H48" s="39"/>
      <c r="I48" s="39" t="s">
        <v>52</v>
      </c>
      <c r="J48" s="39" t="s">
        <v>53</v>
      </c>
      <c r="K48" s="24" t="s">
        <v>252</v>
      </c>
      <c r="L48" s="82"/>
      <c r="M48" s="83" t="s">
        <v>245</v>
      </c>
      <c r="N48" s="39" t="s">
        <v>55</v>
      </c>
      <c r="O48" s="39" t="s">
        <v>56</v>
      </c>
      <c r="P48" s="39" t="s">
        <v>55</v>
      </c>
      <c r="Q48" s="39" t="s">
        <v>56</v>
      </c>
      <c r="R48" s="39" t="s">
        <v>56</v>
      </c>
      <c r="S48" s="39" t="s">
        <v>56</v>
      </c>
      <c r="T48" s="39" t="s">
        <v>56</v>
      </c>
      <c r="U48" s="39" t="s">
        <v>56</v>
      </c>
      <c r="V48" s="86">
        <f t="shared" si="0"/>
        <v>0.2</v>
      </c>
      <c r="W48" s="40" t="s">
        <v>253</v>
      </c>
    </row>
    <row r="49" spans="1:23" s="2" customFormat="1" x14ac:dyDescent="0.35">
      <c r="A49" s="39" t="s">
        <v>254</v>
      </c>
      <c r="B49" s="64" t="s">
        <v>99</v>
      </c>
      <c r="C49" s="64">
        <v>2025</v>
      </c>
      <c r="D49" s="28" t="s">
        <v>30</v>
      </c>
      <c r="E49" s="62" t="s">
        <v>394</v>
      </c>
      <c r="F49" s="41" t="s">
        <v>25</v>
      </c>
      <c r="G49" s="41" t="s">
        <v>13</v>
      </c>
      <c r="H49" s="41"/>
      <c r="I49" s="41" t="s">
        <v>52</v>
      </c>
      <c r="J49" s="41" t="s">
        <v>255</v>
      </c>
      <c r="K49" s="25" t="s">
        <v>256</v>
      </c>
      <c r="L49" s="25"/>
      <c r="M49" s="39"/>
      <c r="N49" s="41" t="s">
        <v>55</v>
      </c>
      <c r="O49" s="41" t="s">
        <v>56</v>
      </c>
      <c r="P49" s="41" t="s">
        <v>56</v>
      </c>
      <c r="Q49" s="41" t="s">
        <v>56</v>
      </c>
      <c r="R49" s="41" t="s">
        <v>56</v>
      </c>
      <c r="S49" s="41" t="s">
        <v>56</v>
      </c>
      <c r="T49" s="41" t="s">
        <v>56</v>
      </c>
      <c r="U49" s="41" t="s">
        <v>56</v>
      </c>
      <c r="V49" s="86">
        <f t="shared" si="0"/>
        <v>0</v>
      </c>
      <c r="W49" s="39" t="s">
        <v>257</v>
      </c>
    </row>
    <row r="50" spans="1:23" s="2" customFormat="1" x14ac:dyDescent="0.35">
      <c r="A50" s="41" t="s">
        <v>258</v>
      </c>
      <c r="B50" s="65" t="s">
        <v>12</v>
      </c>
      <c r="C50" s="64">
        <v>2025</v>
      </c>
      <c r="D50" s="41" t="s">
        <v>30</v>
      </c>
      <c r="E50" s="62" t="s">
        <v>394</v>
      </c>
      <c r="F50" s="41" t="s">
        <v>25</v>
      </c>
      <c r="G50" s="41" t="s">
        <v>30</v>
      </c>
      <c r="H50" s="41"/>
      <c r="I50" s="41" t="s">
        <v>84</v>
      </c>
      <c r="J50" s="56" t="s">
        <v>85</v>
      </c>
      <c r="K50" s="25" t="s">
        <v>259</v>
      </c>
      <c r="L50" s="25"/>
      <c r="M50" s="39"/>
      <c r="N50" s="41" t="s">
        <v>56</v>
      </c>
      <c r="O50" s="41" t="s">
        <v>56</v>
      </c>
      <c r="P50" s="41" t="s">
        <v>56</v>
      </c>
      <c r="Q50" s="41" t="s">
        <v>56</v>
      </c>
      <c r="R50" s="41" t="s">
        <v>56</v>
      </c>
      <c r="S50" s="41" t="s">
        <v>56</v>
      </c>
      <c r="T50" s="41" t="s">
        <v>56</v>
      </c>
      <c r="U50" s="41" t="s">
        <v>56</v>
      </c>
      <c r="V50" s="86">
        <f t="shared" si="0"/>
        <v>0</v>
      </c>
      <c r="W50" s="39" t="s">
        <v>260</v>
      </c>
    </row>
    <row r="51" spans="1:23" s="4" customFormat="1" ht="29" x14ac:dyDescent="0.35">
      <c r="A51" s="39" t="s">
        <v>261</v>
      </c>
      <c r="B51" s="62" t="s">
        <v>12</v>
      </c>
      <c r="C51" s="64">
        <v>2025</v>
      </c>
      <c r="D51" s="39">
        <v>3</v>
      </c>
      <c r="E51" s="64" t="s">
        <v>5</v>
      </c>
      <c r="F51" s="39" t="s">
        <v>25</v>
      </c>
      <c r="G51" s="39" t="s">
        <v>16</v>
      </c>
      <c r="H51" s="39" t="s">
        <v>139</v>
      </c>
      <c r="I51" s="39" t="s">
        <v>84</v>
      </c>
      <c r="J51" s="39" t="s">
        <v>143</v>
      </c>
      <c r="K51" s="26" t="s">
        <v>262</v>
      </c>
      <c r="L51" s="26"/>
      <c r="M51" s="83" t="s">
        <v>245</v>
      </c>
      <c r="N51" s="39" t="s">
        <v>55</v>
      </c>
      <c r="O51" s="39" t="s">
        <v>55</v>
      </c>
      <c r="P51" s="39" t="s">
        <v>55</v>
      </c>
      <c r="Q51" s="39" t="s">
        <v>55</v>
      </c>
      <c r="R51" s="39" t="s">
        <v>56</v>
      </c>
      <c r="S51" s="39" t="s">
        <v>55</v>
      </c>
      <c r="T51" s="39" t="s">
        <v>56</v>
      </c>
      <c r="U51" s="39" t="s">
        <v>55</v>
      </c>
      <c r="V51" s="86">
        <f t="shared" si="0"/>
        <v>0.8</v>
      </c>
      <c r="W51" s="39" t="s">
        <v>263</v>
      </c>
    </row>
    <row r="52" spans="1:23" s="2" customFormat="1" x14ac:dyDescent="0.35">
      <c r="A52" s="41" t="s">
        <v>264</v>
      </c>
      <c r="B52" s="64" t="s">
        <v>12</v>
      </c>
      <c r="C52" s="64">
        <v>2025</v>
      </c>
      <c r="D52" s="41" t="s">
        <v>30</v>
      </c>
      <c r="E52" s="65" t="s">
        <v>5</v>
      </c>
      <c r="F52" s="41" t="s">
        <v>25</v>
      </c>
      <c r="G52" s="41" t="s">
        <v>14</v>
      </c>
      <c r="H52" s="41"/>
      <c r="I52" s="41" t="s">
        <v>84</v>
      </c>
      <c r="J52" s="41" t="s">
        <v>85</v>
      </c>
      <c r="K52" s="25" t="s">
        <v>265</v>
      </c>
      <c r="L52" s="25"/>
      <c r="M52" s="83" t="s">
        <v>245</v>
      </c>
      <c r="N52" s="41" t="s">
        <v>56</v>
      </c>
      <c r="O52" s="41" t="s">
        <v>56</v>
      </c>
      <c r="P52" s="41" t="s">
        <v>56</v>
      </c>
      <c r="Q52" s="41" t="s">
        <v>56</v>
      </c>
      <c r="R52" s="41" t="s">
        <v>56</v>
      </c>
      <c r="S52" s="41" t="s">
        <v>56</v>
      </c>
      <c r="T52" s="41" t="s">
        <v>56</v>
      </c>
      <c r="U52" s="41" t="s">
        <v>56</v>
      </c>
      <c r="V52" s="86">
        <f t="shared" si="0"/>
        <v>0</v>
      </c>
      <c r="W52" s="39" t="s">
        <v>266</v>
      </c>
    </row>
    <row r="53" spans="1:23" s="4" customFormat="1" x14ac:dyDescent="0.35">
      <c r="A53" s="39" t="s">
        <v>267</v>
      </c>
      <c r="B53" s="64" t="s">
        <v>12</v>
      </c>
      <c r="C53" s="64">
        <v>2025</v>
      </c>
      <c r="D53" s="39" t="s">
        <v>30</v>
      </c>
      <c r="E53" s="64" t="s">
        <v>5</v>
      </c>
      <c r="F53" s="39" t="s">
        <v>25</v>
      </c>
      <c r="G53" s="39" t="s">
        <v>30</v>
      </c>
      <c r="H53" s="39"/>
      <c r="I53" s="39" t="s">
        <v>84</v>
      </c>
      <c r="J53" s="39" t="s">
        <v>85</v>
      </c>
      <c r="K53" s="26" t="s">
        <v>268</v>
      </c>
      <c r="L53" s="26"/>
      <c r="M53" s="83" t="s">
        <v>245</v>
      </c>
      <c r="N53" s="39" t="s">
        <v>56</v>
      </c>
      <c r="O53" s="39" t="s">
        <v>56</v>
      </c>
      <c r="P53" s="39" t="s">
        <v>56</v>
      </c>
      <c r="Q53" s="39" t="s">
        <v>56</v>
      </c>
      <c r="R53" s="39" t="s">
        <v>56</v>
      </c>
      <c r="S53" s="39" t="s">
        <v>56</v>
      </c>
      <c r="T53" s="39" t="s">
        <v>56</v>
      </c>
      <c r="U53" s="39" t="s">
        <v>56</v>
      </c>
      <c r="V53" s="86">
        <f t="shared" si="0"/>
        <v>0</v>
      </c>
      <c r="W53" s="39" t="s">
        <v>269</v>
      </c>
    </row>
    <row r="54" spans="1:23" s="4" customFormat="1" x14ac:dyDescent="0.35">
      <c r="A54" s="39" t="s">
        <v>270</v>
      </c>
      <c r="B54" s="64" t="s">
        <v>12</v>
      </c>
      <c r="C54" s="64">
        <v>2025</v>
      </c>
      <c r="D54" s="39" t="s">
        <v>30</v>
      </c>
      <c r="E54" s="64" t="s">
        <v>5</v>
      </c>
      <c r="F54" s="39" t="s">
        <v>60</v>
      </c>
      <c r="G54" s="39" t="s">
        <v>20</v>
      </c>
      <c r="H54" s="39"/>
      <c r="I54" s="39" t="s">
        <v>84</v>
      </c>
      <c r="J54" s="56" t="s">
        <v>85</v>
      </c>
      <c r="K54" s="24" t="s">
        <v>271</v>
      </c>
      <c r="L54" s="24"/>
      <c r="M54" s="83" t="s">
        <v>245</v>
      </c>
      <c r="N54" s="39" t="s">
        <v>56</v>
      </c>
      <c r="O54" s="39" t="s">
        <v>56</v>
      </c>
      <c r="P54" s="39" t="s">
        <v>56</v>
      </c>
      <c r="Q54" s="39" t="s">
        <v>56</v>
      </c>
      <c r="R54" s="39" t="s">
        <v>56</v>
      </c>
      <c r="S54" s="39" t="s">
        <v>56</v>
      </c>
      <c r="T54" s="39" t="s">
        <v>56</v>
      </c>
      <c r="U54" s="39" t="s">
        <v>56</v>
      </c>
      <c r="V54" s="86">
        <f t="shared" si="0"/>
        <v>0</v>
      </c>
      <c r="W54" s="42"/>
    </row>
    <row r="55" spans="1:23" s="4" customFormat="1" x14ac:dyDescent="0.35">
      <c r="A55" s="39" t="s">
        <v>272</v>
      </c>
      <c r="B55" s="62" t="s">
        <v>12</v>
      </c>
      <c r="C55" s="64">
        <v>2025</v>
      </c>
      <c r="D55" s="39">
        <v>5</v>
      </c>
      <c r="E55" s="64" t="s">
        <v>5</v>
      </c>
      <c r="F55" s="39" t="s">
        <v>60</v>
      </c>
      <c r="G55" s="39" t="s">
        <v>9</v>
      </c>
      <c r="H55" s="39" t="s">
        <v>273</v>
      </c>
      <c r="I55" s="39" t="s">
        <v>84</v>
      </c>
      <c r="J55" s="39" t="s">
        <v>143</v>
      </c>
      <c r="K55" s="24" t="s">
        <v>274</v>
      </c>
      <c r="L55" s="24"/>
      <c r="M55" s="83" t="s">
        <v>245</v>
      </c>
      <c r="N55" s="39" t="s">
        <v>56</v>
      </c>
      <c r="O55" s="39" t="s">
        <v>55</v>
      </c>
      <c r="P55" s="39" t="s">
        <v>55</v>
      </c>
      <c r="Q55" s="39" t="s">
        <v>55</v>
      </c>
      <c r="R55" s="39" t="s">
        <v>55</v>
      </c>
      <c r="S55" s="39" t="s">
        <v>55</v>
      </c>
      <c r="T55" s="39" t="s">
        <v>55</v>
      </c>
      <c r="U55" s="39" t="s">
        <v>56</v>
      </c>
      <c r="V55" s="86">
        <f t="shared" si="0"/>
        <v>1</v>
      </c>
      <c r="W55" s="42"/>
    </row>
    <row r="56" spans="1:23" s="2" customFormat="1" x14ac:dyDescent="0.35">
      <c r="A56" s="43" t="s">
        <v>275</v>
      </c>
      <c r="B56" s="66" t="s">
        <v>12</v>
      </c>
      <c r="C56" s="67">
        <v>2025</v>
      </c>
      <c r="D56" s="43" t="s">
        <v>30</v>
      </c>
      <c r="E56" s="62" t="s">
        <v>394</v>
      </c>
      <c r="F56" s="43" t="s">
        <v>60</v>
      </c>
      <c r="G56" s="43" t="s">
        <v>30</v>
      </c>
      <c r="H56" s="43"/>
      <c r="I56" s="43" t="s">
        <v>84</v>
      </c>
      <c r="J56" s="44" t="s">
        <v>85</v>
      </c>
      <c r="K56" s="27" t="s">
        <v>276</v>
      </c>
      <c r="L56" s="27"/>
      <c r="M56" s="44"/>
      <c r="N56" s="44" t="s">
        <v>56</v>
      </c>
      <c r="O56" s="44" t="s">
        <v>56</v>
      </c>
      <c r="P56" s="44" t="s">
        <v>56</v>
      </c>
      <c r="Q56" s="44" t="s">
        <v>56</v>
      </c>
      <c r="R56" s="44" t="s">
        <v>56</v>
      </c>
      <c r="S56" s="44" t="s">
        <v>56</v>
      </c>
      <c r="T56" s="44" t="s">
        <v>56</v>
      </c>
      <c r="U56" s="44" t="s">
        <v>56</v>
      </c>
      <c r="V56" s="86">
        <f t="shared" si="0"/>
        <v>0</v>
      </c>
      <c r="W56" s="45" t="s">
        <v>277</v>
      </c>
    </row>
    <row r="57" spans="1:23" s="4" customFormat="1" x14ac:dyDescent="0.35">
      <c r="A57" s="39" t="s">
        <v>278</v>
      </c>
      <c r="B57" s="64" t="s">
        <v>12</v>
      </c>
      <c r="C57" s="64">
        <v>2025</v>
      </c>
      <c r="D57" s="39"/>
      <c r="E57" s="64" t="s">
        <v>29</v>
      </c>
      <c r="F57" s="39" t="s">
        <v>21</v>
      </c>
      <c r="G57" s="39" t="s">
        <v>13</v>
      </c>
      <c r="H57" s="39"/>
      <c r="I57" s="41" t="s">
        <v>84</v>
      </c>
      <c r="J57" s="44" t="s">
        <v>85</v>
      </c>
      <c r="K57" s="24" t="s">
        <v>279</v>
      </c>
      <c r="L57" s="24"/>
      <c r="M57" s="83" t="s">
        <v>245</v>
      </c>
      <c r="N57" s="43" t="s">
        <v>56</v>
      </c>
      <c r="O57" s="43" t="s">
        <v>56</v>
      </c>
      <c r="P57" s="43" t="s">
        <v>56</v>
      </c>
      <c r="Q57" s="43" t="s">
        <v>56</v>
      </c>
      <c r="R57" s="43" t="s">
        <v>56</v>
      </c>
      <c r="S57" s="43" t="s">
        <v>56</v>
      </c>
      <c r="T57" s="43" t="s">
        <v>56</v>
      </c>
      <c r="U57" s="43" t="s">
        <v>56</v>
      </c>
      <c r="V57" s="86">
        <f t="shared" si="0"/>
        <v>0</v>
      </c>
      <c r="W57" s="39"/>
    </row>
    <row r="58" spans="1:23" s="4" customFormat="1" x14ac:dyDescent="0.35">
      <c r="A58" s="81" t="s">
        <v>280</v>
      </c>
      <c r="B58" s="64" t="s">
        <v>12</v>
      </c>
      <c r="C58" s="64">
        <v>2025</v>
      </c>
      <c r="D58" s="39" t="s">
        <v>30</v>
      </c>
      <c r="E58" s="64" t="s">
        <v>29</v>
      </c>
      <c r="F58" s="39" t="s">
        <v>25</v>
      </c>
      <c r="G58" s="39"/>
      <c r="H58" s="39"/>
      <c r="I58" s="46" t="s">
        <v>84</v>
      </c>
      <c r="J58" s="44" t="s">
        <v>85</v>
      </c>
      <c r="K58" s="24" t="s">
        <v>281</v>
      </c>
      <c r="L58" s="24"/>
      <c r="M58" s="83" t="s">
        <v>245</v>
      </c>
      <c r="N58" s="43" t="s">
        <v>56</v>
      </c>
      <c r="O58" s="43" t="s">
        <v>56</v>
      </c>
      <c r="P58" s="43" t="s">
        <v>56</v>
      </c>
      <c r="Q58" s="43" t="s">
        <v>56</v>
      </c>
      <c r="R58" s="43" t="s">
        <v>56</v>
      </c>
      <c r="S58" s="43" t="s">
        <v>56</v>
      </c>
      <c r="T58" s="43" t="s">
        <v>56</v>
      </c>
      <c r="U58" s="43" t="s">
        <v>56</v>
      </c>
      <c r="V58" s="86">
        <f t="shared" si="0"/>
        <v>0</v>
      </c>
      <c r="W58" s="39"/>
    </row>
    <row r="59" spans="1:23" s="4" customFormat="1" x14ac:dyDescent="0.35">
      <c r="A59" s="81" t="s">
        <v>282</v>
      </c>
      <c r="B59" s="64" t="s">
        <v>283</v>
      </c>
      <c r="C59" s="64">
        <v>2025</v>
      </c>
      <c r="D59" s="39" t="s">
        <v>30</v>
      </c>
      <c r="E59" s="64" t="s">
        <v>29</v>
      </c>
      <c r="F59" s="39" t="s">
        <v>25</v>
      </c>
      <c r="G59" s="39"/>
      <c r="H59" s="39"/>
      <c r="I59" s="46" t="s">
        <v>84</v>
      </c>
      <c r="J59" s="44" t="s">
        <v>85</v>
      </c>
      <c r="K59" s="24" t="s">
        <v>284</v>
      </c>
      <c r="L59" s="24"/>
      <c r="M59" s="83" t="s">
        <v>245</v>
      </c>
      <c r="N59" s="43" t="s">
        <v>56</v>
      </c>
      <c r="O59" s="43" t="s">
        <v>56</v>
      </c>
      <c r="P59" s="43" t="s">
        <v>56</v>
      </c>
      <c r="Q59" s="43" t="s">
        <v>56</v>
      </c>
      <c r="R59" s="43" t="s">
        <v>56</v>
      </c>
      <c r="S59" s="43" t="s">
        <v>56</v>
      </c>
      <c r="T59" s="43" t="s">
        <v>56</v>
      </c>
      <c r="U59" s="43" t="s">
        <v>56</v>
      </c>
      <c r="V59" s="86">
        <f t="shared" si="0"/>
        <v>0</v>
      </c>
      <c r="W59" s="39"/>
    </row>
    <row r="60" spans="1:23" x14ac:dyDescent="0.35">
      <c r="A60" s="41" t="s">
        <v>285</v>
      </c>
      <c r="B60" s="65" t="s">
        <v>12</v>
      </c>
      <c r="C60" s="64">
        <v>2026</v>
      </c>
      <c r="D60" s="41">
        <v>1</v>
      </c>
      <c r="E60" s="65" t="s">
        <v>5</v>
      </c>
      <c r="F60" s="41" t="s">
        <v>25</v>
      </c>
      <c r="G60" s="41" t="s">
        <v>19</v>
      </c>
      <c r="H60" s="41"/>
      <c r="I60" s="46" t="s">
        <v>52</v>
      </c>
      <c r="J60" s="41" t="s">
        <v>53</v>
      </c>
      <c r="K60" s="25" t="s">
        <v>286</v>
      </c>
      <c r="L60" s="25" t="s">
        <v>55</v>
      </c>
      <c r="M60" s="83" t="s">
        <v>245</v>
      </c>
      <c r="N60" s="41" t="s">
        <v>56</v>
      </c>
      <c r="O60" s="41" t="s">
        <v>55</v>
      </c>
      <c r="P60" s="41" t="s">
        <v>55</v>
      </c>
      <c r="Q60" s="41" t="s">
        <v>55</v>
      </c>
      <c r="R60" s="41" t="s">
        <v>56</v>
      </c>
      <c r="S60" s="41" t="s">
        <v>55</v>
      </c>
      <c r="T60" s="41" t="s">
        <v>55</v>
      </c>
      <c r="U60" s="41" t="s">
        <v>56</v>
      </c>
      <c r="V60" s="86">
        <f t="shared" si="0"/>
        <v>0.8</v>
      </c>
      <c r="W60" s="39"/>
    </row>
    <row r="61" spans="1:23" x14ac:dyDescent="0.35">
      <c r="A61" s="41" t="s">
        <v>287</v>
      </c>
      <c r="B61" s="65" t="s">
        <v>99</v>
      </c>
      <c r="C61" s="64">
        <v>2026</v>
      </c>
      <c r="D61" s="41" t="s">
        <v>288</v>
      </c>
      <c r="E61" s="65" t="s">
        <v>26</v>
      </c>
      <c r="F61" s="41" t="s">
        <v>60</v>
      </c>
      <c r="G61" s="41" t="s">
        <v>289</v>
      </c>
      <c r="H61" s="41"/>
      <c r="I61" s="46" t="s">
        <v>52</v>
      </c>
      <c r="J61" s="41" t="s">
        <v>255</v>
      </c>
      <c r="K61" s="25" t="s">
        <v>290</v>
      </c>
      <c r="L61" s="25" t="s">
        <v>56</v>
      </c>
      <c r="M61" s="83" t="s">
        <v>245</v>
      </c>
      <c r="N61" s="41" t="s">
        <v>291</v>
      </c>
      <c r="O61" s="41" t="s">
        <v>291</v>
      </c>
      <c r="P61" s="41" t="s">
        <v>291</v>
      </c>
      <c r="Q61" s="41" t="s">
        <v>291</v>
      </c>
      <c r="R61" s="41" t="s">
        <v>291</v>
      </c>
      <c r="S61" s="41" t="s">
        <v>291</v>
      </c>
      <c r="T61" s="41" t="s">
        <v>291</v>
      </c>
      <c r="U61" s="41" t="s">
        <v>291</v>
      </c>
      <c r="V61" s="86">
        <f t="shared" si="0"/>
        <v>0</v>
      </c>
      <c r="W61" s="42"/>
    </row>
    <row r="62" spans="1:23" x14ac:dyDescent="0.35">
      <c r="A62" s="41" t="s">
        <v>292</v>
      </c>
      <c r="B62" s="65" t="s">
        <v>12</v>
      </c>
      <c r="C62" s="64">
        <v>2026</v>
      </c>
      <c r="D62" s="41" t="s">
        <v>187</v>
      </c>
      <c r="E62" s="65" t="s">
        <v>5</v>
      </c>
      <c r="F62" s="41" t="s">
        <v>60</v>
      </c>
      <c r="G62" s="41" t="s">
        <v>293</v>
      </c>
      <c r="H62" s="41"/>
      <c r="I62" s="46" t="s">
        <v>52</v>
      </c>
      <c r="J62" s="41" t="s">
        <v>53</v>
      </c>
      <c r="K62" s="25" t="s">
        <v>294</v>
      </c>
      <c r="L62" s="25" t="s">
        <v>55</v>
      </c>
      <c r="M62" s="83" t="s">
        <v>245</v>
      </c>
      <c r="N62" s="41" t="s">
        <v>56</v>
      </c>
      <c r="O62" s="41" t="s">
        <v>55</v>
      </c>
      <c r="P62" s="41" t="s">
        <v>55</v>
      </c>
      <c r="Q62" s="41" t="s">
        <v>55</v>
      </c>
      <c r="R62" s="41" t="s">
        <v>56</v>
      </c>
      <c r="S62" s="41" t="s">
        <v>55</v>
      </c>
      <c r="T62" s="41" t="s">
        <v>56</v>
      </c>
      <c r="U62" s="41" t="s">
        <v>56</v>
      </c>
      <c r="V62" s="86">
        <f t="shared" si="0"/>
        <v>0.8</v>
      </c>
      <c r="W62" s="42"/>
    </row>
    <row r="63" spans="1:23" x14ac:dyDescent="0.35">
      <c r="A63" s="41" t="s">
        <v>295</v>
      </c>
      <c r="B63" s="65" t="s">
        <v>12</v>
      </c>
      <c r="C63" s="64">
        <v>2026</v>
      </c>
      <c r="D63" s="41" t="s">
        <v>296</v>
      </c>
      <c r="E63" s="65" t="s">
        <v>5</v>
      </c>
      <c r="F63" s="41" t="s">
        <v>60</v>
      </c>
      <c r="G63" s="41" t="s">
        <v>293</v>
      </c>
      <c r="H63" s="41"/>
      <c r="I63" s="46" t="s">
        <v>52</v>
      </c>
      <c r="J63" s="41" t="s">
        <v>53</v>
      </c>
      <c r="K63" s="25" t="s">
        <v>297</v>
      </c>
      <c r="L63" s="25" t="s">
        <v>55</v>
      </c>
      <c r="M63" s="39" t="s">
        <v>298</v>
      </c>
      <c r="N63" s="41" t="s">
        <v>291</v>
      </c>
      <c r="O63" s="41" t="s">
        <v>291</v>
      </c>
      <c r="P63" s="41" t="s">
        <v>291</v>
      </c>
      <c r="Q63" s="41" t="s">
        <v>291</v>
      </c>
      <c r="R63" s="41" t="s">
        <v>291</v>
      </c>
      <c r="S63" s="41" t="s">
        <v>291</v>
      </c>
      <c r="T63" s="41" t="s">
        <v>291</v>
      </c>
      <c r="U63" s="41" t="s">
        <v>291</v>
      </c>
      <c r="V63" s="86">
        <f t="shared" si="0"/>
        <v>0</v>
      </c>
      <c r="W63" s="42"/>
    </row>
    <row r="64" spans="1:23" x14ac:dyDescent="0.35">
      <c r="A64" s="41" t="s">
        <v>299</v>
      </c>
      <c r="B64" s="65" t="s">
        <v>12</v>
      </c>
      <c r="C64" s="64">
        <v>2026</v>
      </c>
      <c r="D64" s="41"/>
      <c r="E64" s="65" t="s">
        <v>8</v>
      </c>
      <c r="F64" s="41" t="s">
        <v>21</v>
      </c>
      <c r="G64" s="41" t="s">
        <v>300</v>
      </c>
      <c r="H64" s="41"/>
      <c r="I64" s="46" t="s">
        <v>52</v>
      </c>
      <c r="J64" s="41" t="s">
        <v>53</v>
      </c>
      <c r="K64" s="25" t="s">
        <v>301</v>
      </c>
      <c r="L64" s="25" t="s">
        <v>55</v>
      </c>
      <c r="M64" s="39" t="s">
        <v>302</v>
      </c>
      <c r="N64" s="41"/>
      <c r="O64" s="41"/>
      <c r="P64" s="41"/>
      <c r="Q64" s="41"/>
      <c r="R64" s="41"/>
      <c r="S64" s="41"/>
      <c r="T64" s="41"/>
      <c r="U64" s="41"/>
      <c r="V64" s="86">
        <f t="shared" si="0"/>
        <v>0</v>
      </c>
      <c r="W64" s="39"/>
    </row>
    <row r="65" spans="1:23" x14ac:dyDescent="0.35">
      <c r="A65" s="41" t="s">
        <v>303</v>
      </c>
      <c r="B65" s="65" t="s">
        <v>12</v>
      </c>
      <c r="C65" s="64">
        <v>2026</v>
      </c>
      <c r="D65" s="41"/>
      <c r="E65" s="65" t="s">
        <v>15</v>
      </c>
      <c r="F65" s="41" t="s">
        <v>60</v>
      </c>
      <c r="G65" s="41" t="s">
        <v>293</v>
      </c>
      <c r="H65" s="41"/>
      <c r="I65" s="46" t="s">
        <v>52</v>
      </c>
      <c r="J65" s="41" t="s">
        <v>255</v>
      </c>
      <c r="K65" s="25" t="s">
        <v>304</v>
      </c>
      <c r="L65" s="25" t="s">
        <v>55</v>
      </c>
      <c r="M65" s="39" t="s">
        <v>305</v>
      </c>
      <c r="N65" s="41" t="s">
        <v>55</v>
      </c>
      <c r="O65" s="41" t="s">
        <v>55</v>
      </c>
      <c r="P65" s="41" t="s">
        <v>55</v>
      </c>
      <c r="Q65" s="41"/>
      <c r="R65" s="41"/>
      <c r="S65" s="41"/>
      <c r="T65" s="41" t="s">
        <v>55</v>
      </c>
      <c r="U65" s="41"/>
      <c r="V65" s="86">
        <f t="shared" si="0"/>
        <v>1</v>
      </c>
      <c r="W65" s="42" t="s">
        <v>306</v>
      </c>
    </row>
    <row r="66" spans="1:23" x14ac:dyDescent="0.35">
      <c r="A66" s="41" t="s">
        <v>307</v>
      </c>
      <c r="B66" s="65" t="s">
        <v>12</v>
      </c>
      <c r="C66" s="64">
        <v>2026</v>
      </c>
      <c r="D66" s="41" t="s">
        <v>159</v>
      </c>
      <c r="E66" s="65" t="s">
        <v>15</v>
      </c>
      <c r="F66" s="41" t="s">
        <v>60</v>
      </c>
      <c r="G66" s="41" t="s">
        <v>239</v>
      </c>
      <c r="H66" s="41"/>
      <c r="I66" s="46" t="s">
        <v>52</v>
      </c>
      <c r="J66" s="41" t="s">
        <v>53</v>
      </c>
      <c r="K66" s="25" t="s">
        <v>308</v>
      </c>
      <c r="L66" s="25" t="s">
        <v>55</v>
      </c>
      <c r="M66" s="83" t="s">
        <v>245</v>
      </c>
      <c r="N66" s="41" t="s">
        <v>56</v>
      </c>
      <c r="O66" s="41" t="s">
        <v>55</v>
      </c>
      <c r="P66" s="41" t="s">
        <v>55</v>
      </c>
      <c r="Q66" s="41" t="s">
        <v>55</v>
      </c>
      <c r="R66" s="41" t="s">
        <v>56</v>
      </c>
      <c r="S66" s="41" t="s">
        <v>56</v>
      </c>
      <c r="T66" s="41" t="s">
        <v>56</v>
      </c>
      <c r="U66" s="41" t="s">
        <v>56</v>
      </c>
      <c r="V66" s="86">
        <f t="shared" si="0"/>
        <v>0.6</v>
      </c>
      <c r="W66" s="42"/>
    </row>
    <row r="67" spans="1:23" x14ac:dyDescent="0.35">
      <c r="A67" s="41" t="s">
        <v>309</v>
      </c>
      <c r="B67" s="65" t="s">
        <v>12</v>
      </c>
      <c r="C67" s="64">
        <v>2026</v>
      </c>
      <c r="D67" s="41"/>
      <c r="E67" s="65" t="s">
        <v>15</v>
      </c>
      <c r="F67" s="41" t="s">
        <v>60</v>
      </c>
      <c r="G67" s="41" t="s">
        <v>293</v>
      </c>
      <c r="H67" s="41"/>
      <c r="I67" s="46" t="s">
        <v>52</v>
      </c>
      <c r="J67" s="41" t="s">
        <v>255</v>
      </c>
      <c r="K67" s="25" t="s">
        <v>310</v>
      </c>
      <c r="L67" s="25" t="s">
        <v>55</v>
      </c>
      <c r="M67" s="39" t="s">
        <v>305</v>
      </c>
      <c r="N67" s="41"/>
      <c r="O67" s="41"/>
      <c r="P67" s="41"/>
      <c r="Q67" s="41"/>
      <c r="R67" s="41"/>
      <c r="S67" s="41"/>
      <c r="T67" s="41"/>
      <c r="U67" s="41"/>
      <c r="V67" s="86">
        <f t="shared" ref="V67:V103" si="1">IF(COUNTA(O67:S67)=0,0,COUNTIF(O67:S67,"SI")/COUNTA(O67:S67))</f>
        <v>0</v>
      </c>
      <c r="W67" s="42"/>
    </row>
    <row r="68" spans="1:23" x14ac:dyDescent="0.35">
      <c r="A68" s="41" t="s">
        <v>311</v>
      </c>
      <c r="B68" s="65" t="s">
        <v>12</v>
      </c>
      <c r="C68" s="64">
        <v>2026</v>
      </c>
      <c r="D68" s="41"/>
      <c r="E68" s="65" t="s">
        <v>15</v>
      </c>
      <c r="F68" s="41" t="s">
        <v>60</v>
      </c>
      <c r="G68" s="41" t="s">
        <v>293</v>
      </c>
      <c r="H68" s="41"/>
      <c r="I68" s="46" t="s">
        <v>52</v>
      </c>
      <c r="J68" s="41" t="s">
        <v>53</v>
      </c>
      <c r="K68" s="25" t="s">
        <v>312</v>
      </c>
      <c r="L68" s="25" t="s">
        <v>56</v>
      </c>
      <c r="M68" s="39" t="s">
        <v>298</v>
      </c>
      <c r="N68" s="41" t="s">
        <v>291</v>
      </c>
      <c r="O68" s="41" t="s">
        <v>291</v>
      </c>
      <c r="P68" s="41" t="s">
        <v>291</v>
      </c>
      <c r="Q68" s="41" t="s">
        <v>291</v>
      </c>
      <c r="R68" s="41" t="s">
        <v>291</v>
      </c>
      <c r="S68" s="41" t="s">
        <v>291</v>
      </c>
      <c r="T68" s="41" t="s">
        <v>291</v>
      </c>
      <c r="U68" s="41" t="s">
        <v>291</v>
      </c>
      <c r="V68" s="86">
        <f t="shared" si="1"/>
        <v>0</v>
      </c>
      <c r="W68" s="42"/>
    </row>
    <row r="69" spans="1:23" x14ac:dyDescent="0.35">
      <c r="A69" s="41" t="s">
        <v>313</v>
      </c>
      <c r="B69" s="65" t="s">
        <v>12</v>
      </c>
      <c r="C69" s="64">
        <v>2026</v>
      </c>
      <c r="D69" s="41"/>
      <c r="E69" s="65" t="s">
        <v>15</v>
      </c>
      <c r="F69" s="41" t="s">
        <v>60</v>
      </c>
      <c r="G69" s="41" t="s">
        <v>293</v>
      </c>
      <c r="H69" s="41"/>
      <c r="I69" s="46" t="s">
        <v>52</v>
      </c>
      <c r="J69" s="41" t="s">
        <v>53</v>
      </c>
      <c r="K69" s="25" t="s">
        <v>314</v>
      </c>
      <c r="L69" s="25" t="s">
        <v>56</v>
      </c>
      <c r="M69" s="39" t="s">
        <v>302</v>
      </c>
      <c r="N69" s="41"/>
      <c r="O69" s="41"/>
      <c r="P69" s="41"/>
      <c r="Q69" s="41"/>
      <c r="R69" s="41"/>
      <c r="S69" s="41"/>
      <c r="T69" s="41"/>
      <c r="U69" s="41"/>
      <c r="V69" s="86">
        <f t="shared" si="1"/>
        <v>0</v>
      </c>
      <c r="W69" s="42"/>
    </row>
    <row r="70" spans="1:23" x14ac:dyDescent="0.35">
      <c r="A70" s="41" t="s">
        <v>315</v>
      </c>
      <c r="B70" s="65" t="s">
        <v>12</v>
      </c>
      <c r="C70" s="64">
        <v>2026</v>
      </c>
      <c r="D70" s="41"/>
      <c r="E70" s="65" t="s">
        <v>15</v>
      </c>
      <c r="F70" s="41" t="s">
        <v>60</v>
      </c>
      <c r="G70" s="41" t="s">
        <v>293</v>
      </c>
      <c r="H70" s="41"/>
      <c r="I70" s="46" t="s">
        <v>52</v>
      </c>
      <c r="J70" s="41" t="s">
        <v>53</v>
      </c>
      <c r="K70" s="25" t="s">
        <v>316</v>
      </c>
      <c r="L70" s="25" t="s">
        <v>55</v>
      </c>
      <c r="M70" s="39" t="s">
        <v>305</v>
      </c>
      <c r="N70" s="41"/>
      <c r="O70" s="41"/>
      <c r="P70" s="41"/>
      <c r="Q70" s="41"/>
      <c r="R70" s="41"/>
      <c r="S70" s="41"/>
      <c r="T70" s="41"/>
      <c r="U70" s="41"/>
      <c r="V70" s="86">
        <f t="shared" si="1"/>
        <v>0</v>
      </c>
      <c r="W70" s="42"/>
    </row>
    <row r="71" spans="1:23" x14ac:dyDescent="0.35">
      <c r="A71" s="41" t="s">
        <v>317</v>
      </c>
      <c r="B71" s="65" t="s">
        <v>12</v>
      </c>
      <c r="C71" s="64">
        <v>2026</v>
      </c>
      <c r="D71" s="41"/>
      <c r="E71" s="65" t="s">
        <v>5</v>
      </c>
      <c r="F71" s="41" t="s">
        <v>60</v>
      </c>
      <c r="G71" s="41" t="s">
        <v>11</v>
      </c>
      <c r="H71" s="41"/>
      <c r="I71" s="46" t="s">
        <v>52</v>
      </c>
      <c r="J71" s="41" t="s">
        <v>255</v>
      </c>
      <c r="K71" s="25" t="s">
        <v>318</v>
      </c>
      <c r="L71" s="25" t="s">
        <v>55</v>
      </c>
      <c r="M71" s="39" t="s">
        <v>305</v>
      </c>
      <c r="N71" s="41"/>
      <c r="O71" s="41"/>
      <c r="P71" s="41"/>
      <c r="Q71" s="41"/>
      <c r="R71" s="41"/>
      <c r="S71" s="41"/>
      <c r="T71" s="41"/>
      <c r="U71" s="41" t="s">
        <v>55</v>
      </c>
      <c r="V71" s="86">
        <f t="shared" si="1"/>
        <v>0</v>
      </c>
      <c r="W71" s="42"/>
    </row>
    <row r="72" spans="1:23" x14ac:dyDescent="0.35">
      <c r="A72" s="41" t="s">
        <v>319</v>
      </c>
      <c r="B72" s="65" t="s">
        <v>12</v>
      </c>
      <c r="C72" s="64">
        <v>2026</v>
      </c>
      <c r="D72" s="41" t="s">
        <v>320</v>
      </c>
      <c r="E72" s="65" t="s">
        <v>5</v>
      </c>
      <c r="F72" s="41" t="s">
        <v>60</v>
      </c>
      <c r="G72" s="41" t="s">
        <v>293</v>
      </c>
      <c r="H72" s="41"/>
      <c r="I72" s="46" t="s">
        <v>52</v>
      </c>
      <c r="J72" s="41" t="s">
        <v>255</v>
      </c>
      <c r="K72" s="25" t="s">
        <v>321</v>
      </c>
      <c r="L72" s="25" t="s">
        <v>55</v>
      </c>
      <c r="M72" s="83" t="s">
        <v>245</v>
      </c>
      <c r="N72" s="41" t="s">
        <v>56</v>
      </c>
      <c r="O72" s="41" t="s">
        <v>55</v>
      </c>
      <c r="P72" s="41" t="s">
        <v>55</v>
      </c>
      <c r="Q72" s="41" t="s">
        <v>55</v>
      </c>
      <c r="R72" s="41" t="s">
        <v>56</v>
      </c>
      <c r="S72" s="41" t="s">
        <v>55</v>
      </c>
      <c r="T72" s="41" t="s">
        <v>56</v>
      </c>
      <c r="U72" s="41" t="s">
        <v>56</v>
      </c>
      <c r="V72" s="86">
        <f t="shared" si="1"/>
        <v>0.8</v>
      </c>
      <c r="W72" s="42"/>
    </row>
    <row r="73" spans="1:23" x14ac:dyDescent="0.35">
      <c r="A73" s="41" t="s">
        <v>322</v>
      </c>
      <c r="B73" s="65" t="s">
        <v>12</v>
      </c>
      <c r="C73" s="64">
        <v>2026</v>
      </c>
      <c r="D73" s="41"/>
      <c r="E73" s="65" t="s">
        <v>5</v>
      </c>
      <c r="F73" s="41" t="s">
        <v>60</v>
      </c>
      <c r="G73" s="41" t="s">
        <v>11</v>
      </c>
      <c r="H73" s="41"/>
      <c r="I73" s="46" t="s">
        <v>52</v>
      </c>
      <c r="J73" s="41" t="s">
        <v>255</v>
      </c>
      <c r="K73" s="25" t="s">
        <v>323</v>
      </c>
      <c r="L73" s="25" t="s">
        <v>55</v>
      </c>
      <c r="M73" s="39" t="s">
        <v>305</v>
      </c>
      <c r="N73" s="41"/>
      <c r="O73" s="41"/>
      <c r="P73" s="41"/>
      <c r="Q73" s="41"/>
      <c r="R73" s="41"/>
      <c r="S73" s="41"/>
      <c r="T73" s="41"/>
      <c r="U73" s="41"/>
      <c r="V73" s="86">
        <f t="shared" si="1"/>
        <v>0</v>
      </c>
      <c r="W73" s="42"/>
    </row>
    <row r="74" spans="1:23" x14ac:dyDescent="0.35">
      <c r="A74" s="41" t="s">
        <v>324</v>
      </c>
      <c r="B74" s="65" t="s">
        <v>283</v>
      </c>
      <c r="C74" s="64">
        <v>2026</v>
      </c>
      <c r="D74" s="41"/>
      <c r="E74" s="65" t="s">
        <v>5</v>
      </c>
      <c r="F74" s="41" t="s">
        <v>60</v>
      </c>
      <c r="G74" s="41" t="s">
        <v>11</v>
      </c>
      <c r="H74" s="41"/>
      <c r="I74" s="46" t="s">
        <v>52</v>
      </c>
      <c r="J74" s="41" t="s">
        <v>53</v>
      </c>
      <c r="K74" s="25" t="s">
        <v>325</v>
      </c>
      <c r="L74" s="25" t="s">
        <v>56</v>
      </c>
      <c r="M74" s="39" t="s">
        <v>305</v>
      </c>
      <c r="N74" s="41"/>
      <c r="O74" s="41"/>
      <c r="P74" s="41"/>
      <c r="Q74" s="41"/>
      <c r="R74" s="41"/>
      <c r="S74" s="41"/>
      <c r="T74" s="41"/>
      <c r="U74" s="41"/>
      <c r="V74" s="86">
        <f t="shared" si="1"/>
        <v>0</v>
      </c>
      <c r="W74" s="42"/>
    </row>
    <row r="75" spans="1:23" x14ac:dyDescent="0.35">
      <c r="A75" s="41" t="s">
        <v>326</v>
      </c>
      <c r="B75" s="65" t="s">
        <v>12</v>
      </c>
      <c r="C75" s="64">
        <v>2026</v>
      </c>
      <c r="D75" s="41"/>
      <c r="E75" s="65" t="s">
        <v>5</v>
      </c>
      <c r="F75" s="41" t="s">
        <v>60</v>
      </c>
      <c r="G75" s="41" t="s">
        <v>11</v>
      </c>
      <c r="H75" s="41"/>
      <c r="I75" s="46" t="s">
        <v>52</v>
      </c>
      <c r="J75" s="41" t="s">
        <v>53</v>
      </c>
      <c r="K75" s="25" t="s">
        <v>327</v>
      </c>
      <c r="L75" s="25" t="s">
        <v>55</v>
      </c>
      <c r="M75" s="39" t="s">
        <v>305</v>
      </c>
      <c r="N75" s="41"/>
      <c r="O75" s="41"/>
      <c r="P75" s="41"/>
      <c r="Q75" s="41"/>
      <c r="R75" s="41"/>
      <c r="S75" s="41"/>
      <c r="T75" s="41"/>
      <c r="U75" s="41"/>
      <c r="V75" s="86">
        <f t="shared" si="1"/>
        <v>0</v>
      </c>
      <c r="W75" s="42"/>
    </row>
    <row r="76" spans="1:23" x14ac:dyDescent="0.35">
      <c r="A76" s="41" t="s">
        <v>328</v>
      </c>
      <c r="B76" s="65" t="s">
        <v>12</v>
      </c>
      <c r="C76" s="64">
        <v>2026</v>
      </c>
      <c r="D76" s="41"/>
      <c r="E76" s="65" t="s">
        <v>5</v>
      </c>
      <c r="F76" s="41" t="s">
        <v>60</v>
      </c>
      <c r="G76" s="41" t="s">
        <v>11</v>
      </c>
      <c r="H76" s="41"/>
      <c r="I76" s="46" t="s">
        <v>52</v>
      </c>
      <c r="J76" s="41" t="s">
        <v>53</v>
      </c>
      <c r="K76" s="25" t="s">
        <v>329</v>
      </c>
      <c r="L76" s="25" t="s">
        <v>55</v>
      </c>
      <c r="M76" s="39" t="s">
        <v>302</v>
      </c>
      <c r="N76" s="41"/>
      <c r="O76" s="41"/>
      <c r="P76" s="41"/>
      <c r="Q76" s="41"/>
      <c r="R76" s="41"/>
      <c r="S76" s="41"/>
      <c r="T76" s="41"/>
      <c r="U76" s="41"/>
      <c r="V76" s="86">
        <f t="shared" si="1"/>
        <v>0</v>
      </c>
      <c r="W76" s="42"/>
    </row>
    <row r="77" spans="1:23" x14ac:dyDescent="0.35">
      <c r="A77" s="41" t="s">
        <v>330</v>
      </c>
      <c r="B77" s="65" t="s">
        <v>12</v>
      </c>
      <c r="C77" s="64">
        <v>2026</v>
      </c>
      <c r="D77" s="41"/>
      <c r="E77" s="65" t="s">
        <v>5</v>
      </c>
      <c r="F77" s="41" t="s">
        <v>60</v>
      </c>
      <c r="G77" s="41" t="s">
        <v>293</v>
      </c>
      <c r="H77" s="41"/>
      <c r="I77" s="46" t="s">
        <v>52</v>
      </c>
      <c r="J77" s="41" t="s">
        <v>53</v>
      </c>
      <c r="K77" s="25" t="s">
        <v>331</v>
      </c>
      <c r="L77" s="25" t="s">
        <v>56</v>
      </c>
      <c r="M77" s="39" t="s">
        <v>302</v>
      </c>
      <c r="N77" s="41"/>
      <c r="O77" s="41"/>
      <c r="P77" s="41"/>
      <c r="Q77" s="41"/>
      <c r="R77" s="41"/>
      <c r="S77" s="41"/>
      <c r="T77" s="41"/>
      <c r="U77" s="41"/>
      <c r="V77" s="86">
        <f t="shared" si="1"/>
        <v>0</v>
      </c>
      <c r="W77" s="42"/>
    </row>
    <row r="78" spans="1:23" x14ac:dyDescent="0.35">
      <c r="A78" s="41" t="s">
        <v>332</v>
      </c>
      <c r="B78" s="65" t="s">
        <v>283</v>
      </c>
      <c r="C78" s="64">
        <v>2026</v>
      </c>
      <c r="D78" s="41"/>
      <c r="E78" s="65" t="s">
        <v>5</v>
      </c>
      <c r="F78" s="41" t="s">
        <v>60</v>
      </c>
      <c r="G78" s="41" t="s">
        <v>18</v>
      </c>
      <c r="H78" s="41"/>
      <c r="I78" s="46" t="s">
        <v>52</v>
      </c>
      <c r="J78" s="41" t="s">
        <v>53</v>
      </c>
      <c r="K78" s="25" t="s">
        <v>333</v>
      </c>
      <c r="L78" s="25" t="s">
        <v>56</v>
      </c>
      <c r="M78" s="39" t="s">
        <v>305</v>
      </c>
      <c r="N78" s="41"/>
      <c r="O78" s="41"/>
      <c r="P78" s="41"/>
      <c r="Q78" s="41"/>
      <c r="R78" s="41"/>
      <c r="S78" s="41"/>
      <c r="T78" s="41"/>
      <c r="U78" s="41"/>
      <c r="V78" s="86">
        <f t="shared" si="1"/>
        <v>0</v>
      </c>
      <c r="W78" s="42"/>
    </row>
    <row r="79" spans="1:23" x14ac:dyDescent="0.35">
      <c r="A79" s="41" t="s">
        <v>334</v>
      </c>
      <c r="B79" s="65" t="s">
        <v>12</v>
      </c>
      <c r="C79" s="64">
        <v>2026</v>
      </c>
      <c r="D79" s="41"/>
      <c r="E79" s="65" t="s">
        <v>5</v>
      </c>
      <c r="F79" s="41" t="s">
        <v>60</v>
      </c>
      <c r="G79" s="41" t="s">
        <v>18</v>
      </c>
      <c r="H79" s="41"/>
      <c r="I79" s="46" t="s">
        <v>52</v>
      </c>
      <c r="J79" s="41" t="s">
        <v>53</v>
      </c>
      <c r="K79" s="25" t="s">
        <v>335</v>
      </c>
      <c r="L79" s="25" t="s">
        <v>55</v>
      </c>
      <c r="M79" s="39" t="s">
        <v>336</v>
      </c>
      <c r="N79" s="41"/>
      <c r="O79" s="41"/>
      <c r="P79" s="41"/>
      <c r="Q79" s="41"/>
      <c r="R79" s="41"/>
      <c r="S79" s="41"/>
      <c r="T79" s="41"/>
      <c r="U79" s="41"/>
      <c r="V79" s="86">
        <f t="shared" si="1"/>
        <v>0</v>
      </c>
      <c r="W79" s="42"/>
    </row>
    <row r="80" spans="1:23" x14ac:dyDescent="0.35">
      <c r="A80" s="41" t="s">
        <v>337</v>
      </c>
      <c r="B80" s="65" t="s">
        <v>283</v>
      </c>
      <c r="C80" s="64">
        <v>2026</v>
      </c>
      <c r="D80" s="41"/>
      <c r="E80" s="65" t="s">
        <v>5</v>
      </c>
      <c r="F80" s="41" t="s">
        <v>60</v>
      </c>
      <c r="G80" s="41" t="s">
        <v>18</v>
      </c>
      <c r="H80" s="41"/>
      <c r="I80" s="46" t="s">
        <v>52</v>
      </c>
      <c r="J80" s="41" t="s">
        <v>53</v>
      </c>
      <c r="K80" s="25" t="s">
        <v>338</v>
      </c>
      <c r="L80" s="25" t="s">
        <v>56</v>
      </c>
      <c r="M80" s="39" t="s">
        <v>305</v>
      </c>
      <c r="N80" s="41"/>
      <c r="O80" s="41"/>
      <c r="P80" s="41"/>
      <c r="Q80" s="41"/>
      <c r="R80" s="41"/>
      <c r="S80" s="41"/>
      <c r="T80" s="41"/>
      <c r="U80" s="41"/>
      <c r="V80" s="86">
        <f t="shared" si="1"/>
        <v>0</v>
      </c>
      <c r="W80" s="42"/>
    </row>
    <row r="81" spans="1:23" ht="14.25" customHeight="1" x14ac:dyDescent="0.35">
      <c r="A81" s="41" t="s">
        <v>339</v>
      </c>
      <c r="B81" s="65" t="s">
        <v>12</v>
      </c>
      <c r="C81" s="65">
        <v>2026</v>
      </c>
      <c r="D81" s="41"/>
      <c r="E81" s="65" t="s">
        <v>5</v>
      </c>
      <c r="F81" s="41" t="s">
        <v>60</v>
      </c>
      <c r="G81" s="41" t="s">
        <v>340</v>
      </c>
      <c r="H81" s="41"/>
      <c r="I81" s="46" t="s">
        <v>84</v>
      </c>
      <c r="J81" s="41" t="s">
        <v>143</v>
      </c>
      <c r="K81" s="25" t="s">
        <v>341</v>
      </c>
      <c r="L81" s="25" t="s">
        <v>55</v>
      </c>
      <c r="M81" s="39" t="s">
        <v>305</v>
      </c>
      <c r="N81" s="41"/>
      <c r="O81" s="41" t="s">
        <v>55</v>
      </c>
      <c r="P81" s="41" t="s">
        <v>55</v>
      </c>
      <c r="Q81" s="41" t="s">
        <v>55</v>
      </c>
      <c r="R81" s="41"/>
      <c r="S81" s="41"/>
      <c r="T81" s="41" t="s">
        <v>55</v>
      </c>
      <c r="U81" s="41"/>
      <c r="V81" s="86">
        <f t="shared" si="1"/>
        <v>1</v>
      </c>
      <c r="W81" s="42"/>
    </row>
    <row r="82" spans="1:23" s="3" customFormat="1" x14ac:dyDescent="0.35">
      <c r="A82" s="39" t="s">
        <v>342</v>
      </c>
      <c r="B82" s="64" t="s">
        <v>283</v>
      </c>
      <c r="C82" s="64">
        <v>2026</v>
      </c>
      <c r="D82" s="39" t="s">
        <v>343</v>
      </c>
      <c r="E82" s="84" t="s">
        <v>8</v>
      </c>
      <c r="F82" s="39" t="s">
        <v>60</v>
      </c>
      <c r="G82" s="39" t="s">
        <v>6</v>
      </c>
      <c r="H82" s="39"/>
      <c r="I82" s="47" t="s">
        <v>84</v>
      </c>
      <c r="J82" s="39" t="s">
        <v>143</v>
      </c>
      <c r="K82" s="24" t="s">
        <v>344</v>
      </c>
      <c r="L82" s="24" t="s">
        <v>56</v>
      </c>
      <c r="M82" s="83" t="s">
        <v>245</v>
      </c>
      <c r="N82" s="39" t="s">
        <v>56</v>
      </c>
      <c r="O82" s="39" t="s">
        <v>56</v>
      </c>
      <c r="P82" s="39" t="s">
        <v>55</v>
      </c>
      <c r="Q82" s="39" t="s">
        <v>56</v>
      </c>
      <c r="R82" s="39" t="s">
        <v>56</v>
      </c>
      <c r="S82" s="39" t="s">
        <v>56</v>
      </c>
      <c r="T82" s="39" t="s">
        <v>55</v>
      </c>
      <c r="U82" s="39" t="s">
        <v>56</v>
      </c>
      <c r="V82" s="86">
        <f t="shared" si="1"/>
        <v>0.2</v>
      </c>
      <c r="W82" s="42" t="s">
        <v>345</v>
      </c>
    </row>
    <row r="83" spans="1:23" x14ac:dyDescent="0.35">
      <c r="A83" s="41" t="s">
        <v>346</v>
      </c>
      <c r="B83" s="65" t="s">
        <v>283</v>
      </c>
      <c r="C83" s="65">
        <v>2026</v>
      </c>
      <c r="D83" s="41" t="s">
        <v>347</v>
      </c>
      <c r="E83" s="65" t="s">
        <v>8</v>
      </c>
      <c r="F83" s="41" t="s">
        <v>25</v>
      </c>
      <c r="G83" s="41" t="s">
        <v>6</v>
      </c>
      <c r="H83" s="41"/>
      <c r="I83" s="46" t="s">
        <v>84</v>
      </c>
      <c r="J83" s="41" t="s">
        <v>143</v>
      </c>
      <c r="K83" s="25" t="s">
        <v>348</v>
      </c>
      <c r="L83" s="25" t="s">
        <v>56</v>
      </c>
      <c r="M83" s="83" t="s">
        <v>245</v>
      </c>
      <c r="N83" s="41" t="s">
        <v>56</v>
      </c>
      <c r="O83" s="41" t="s">
        <v>56</v>
      </c>
      <c r="P83" s="41" t="s">
        <v>56</v>
      </c>
      <c r="Q83" s="41" t="s">
        <v>56</v>
      </c>
      <c r="R83" s="41" t="s">
        <v>56</v>
      </c>
      <c r="S83" s="41" t="s">
        <v>55</v>
      </c>
      <c r="T83" s="41" t="s">
        <v>56</v>
      </c>
      <c r="U83" s="41" t="s">
        <v>56</v>
      </c>
      <c r="V83" s="86">
        <f t="shared" si="1"/>
        <v>0.2</v>
      </c>
      <c r="W83" s="39" t="s">
        <v>345</v>
      </c>
    </row>
    <row r="84" spans="1:23" x14ac:dyDescent="0.35">
      <c r="A84" s="41" t="s">
        <v>349</v>
      </c>
      <c r="B84" s="65" t="s">
        <v>12</v>
      </c>
      <c r="C84" s="65">
        <v>2026</v>
      </c>
      <c r="D84" s="41" t="s">
        <v>111</v>
      </c>
      <c r="E84" s="65" t="s">
        <v>15</v>
      </c>
      <c r="F84" s="41" t="s">
        <v>25</v>
      </c>
      <c r="G84" s="41" t="s">
        <v>13</v>
      </c>
      <c r="H84" s="41"/>
      <c r="I84" s="46" t="s">
        <v>84</v>
      </c>
      <c r="J84" s="41" t="s">
        <v>143</v>
      </c>
      <c r="K84" s="25" t="s">
        <v>350</v>
      </c>
      <c r="L84" s="25" t="s">
        <v>55</v>
      </c>
      <c r="M84" s="83" t="s">
        <v>245</v>
      </c>
      <c r="N84" s="41" t="s">
        <v>56</v>
      </c>
      <c r="O84" s="41" t="s">
        <v>55</v>
      </c>
      <c r="P84" s="41" t="s">
        <v>55</v>
      </c>
      <c r="Q84" s="41" t="s">
        <v>55</v>
      </c>
      <c r="R84" s="41" t="s">
        <v>55</v>
      </c>
      <c r="S84" s="41" t="s">
        <v>55</v>
      </c>
      <c r="T84" s="41" t="s">
        <v>56</v>
      </c>
      <c r="U84" s="41" t="s">
        <v>55</v>
      </c>
      <c r="V84" s="86">
        <f t="shared" si="1"/>
        <v>1</v>
      </c>
      <c r="W84" s="39"/>
    </row>
    <row r="85" spans="1:23" x14ac:dyDescent="0.35">
      <c r="A85" s="41" t="s">
        <v>351</v>
      </c>
      <c r="B85" s="65" t="s">
        <v>12</v>
      </c>
      <c r="C85" s="65">
        <v>2026</v>
      </c>
      <c r="D85" s="41" t="s">
        <v>142</v>
      </c>
      <c r="E85" s="65" t="s">
        <v>15</v>
      </c>
      <c r="F85" s="41" t="s">
        <v>25</v>
      </c>
      <c r="G85" s="41" t="s">
        <v>19</v>
      </c>
      <c r="H85" s="41"/>
      <c r="I85" s="46" t="s">
        <v>84</v>
      </c>
      <c r="J85" s="41" t="s">
        <v>143</v>
      </c>
      <c r="K85" s="25" t="s">
        <v>352</v>
      </c>
      <c r="L85" s="25" t="s">
        <v>55</v>
      </c>
      <c r="M85" s="83" t="s">
        <v>245</v>
      </c>
      <c r="N85" s="41" t="s">
        <v>56</v>
      </c>
      <c r="O85" s="41" t="s">
        <v>55</v>
      </c>
      <c r="P85" s="41" t="s">
        <v>55</v>
      </c>
      <c r="Q85" s="41" t="s">
        <v>55</v>
      </c>
      <c r="R85" s="41" t="s">
        <v>55</v>
      </c>
      <c r="S85" s="41" t="s">
        <v>56</v>
      </c>
      <c r="T85" s="41" t="s">
        <v>56</v>
      </c>
      <c r="U85" s="41" t="s">
        <v>56</v>
      </c>
      <c r="V85" s="86">
        <f t="shared" si="1"/>
        <v>0.8</v>
      </c>
      <c r="W85" s="39"/>
    </row>
    <row r="86" spans="1:23" x14ac:dyDescent="0.35">
      <c r="A86" s="41" t="s">
        <v>353</v>
      </c>
      <c r="B86" s="65" t="s">
        <v>24</v>
      </c>
      <c r="C86" s="65">
        <v>2026</v>
      </c>
      <c r="D86" s="41" t="s">
        <v>124</v>
      </c>
      <c r="E86" s="65" t="s">
        <v>8</v>
      </c>
      <c r="F86" s="41" t="s">
        <v>60</v>
      </c>
      <c r="G86" s="41" t="s">
        <v>239</v>
      </c>
      <c r="H86" s="41"/>
      <c r="I86" s="46" t="s">
        <v>84</v>
      </c>
      <c r="J86" s="41" t="s">
        <v>354</v>
      </c>
      <c r="K86" s="25" t="s">
        <v>355</v>
      </c>
      <c r="L86" s="25" t="s">
        <v>56</v>
      </c>
      <c r="M86" s="83" t="s">
        <v>245</v>
      </c>
      <c r="N86" s="41"/>
      <c r="O86" s="41"/>
      <c r="P86" s="41"/>
      <c r="Q86" s="41"/>
      <c r="R86" s="41"/>
      <c r="S86" s="41"/>
      <c r="T86" s="41"/>
      <c r="U86" s="41"/>
      <c r="V86" s="86">
        <f t="shared" si="1"/>
        <v>0</v>
      </c>
      <c r="W86" s="42"/>
    </row>
    <row r="87" spans="1:23" x14ac:dyDescent="0.35">
      <c r="A87" s="41" t="s">
        <v>356</v>
      </c>
      <c r="B87" s="65" t="s">
        <v>12</v>
      </c>
      <c r="C87" s="65">
        <v>2026</v>
      </c>
      <c r="D87" s="41" t="s">
        <v>88</v>
      </c>
      <c r="E87" s="65" t="s">
        <v>15</v>
      </c>
      <c r="F87" s="41" t="s">
        <v>21</v>
      </c>
      <c r="G87" s="41" t="s">
        <v>300</v>
      </c>
      <c r="H87" s="41"/>
      <c r="I87" s="46" t="s">
        <v>84</v>
      </c>
      <c r="J87" s="41" t="s">
        <v>143</v>
      </c>
      <c r="K87" s="25" t="s">
        <v>357</v>
      </c>
      <c r="L87" s="25" t="s">
        <v>55</v>
      </c>
      <c r="M87" s="83" t="s">
        <v>245</v>
      </c>
      <c r="N87" s="41" t="s">
        <v>56</v>
      </c>
      <c r="O87" s="41" t="s">
        <v>55</v>
      </c>
      <c r="P87" s="41" t="s">
        <v>55</v>
      </c>
      <c r="Q87" s="41" t="s">
        <v>55</v>
      </c>
      <c r="R87" s="41" t="s">
        <v>55</v>
      </c>
      <c r="S87" s="41" t="s">
        <v>55</v>
      </c>
      <c r="T87" s="41" t="s">
        <v>56</v>
      </c>
      <c r="U87" s="41" t="s">
        <v>56</v>
      </c>
      <c r="V87" s="86">
        <f t="shared" si="1"/>
        <v>1</v>
      </c>
      <c r="W87" s="39"/>
    </row>
    <row r="88" spans="1:23" x14ac:dyDescent="0.35">
      <c r="A88" s="41" t="s">
        <v>358</v>
      </c>
      <c r="B88" s="65" t="s">
        <v>17</v>
      </c>
      <c r="C88" s="65">
        <v>2026</v>
      </c>
      <c r="D88" s="41" t="s">
        <v>88</v>
      </c>
      <c r="E88" s="65" t="s">
        <v>8</v>
      </c>
      <c r="F88" s="41" t="s">
        <v>25</v>
      </c>
      <c r="G88" s="43" t="s">
        <v>13</v>
      </c>
      <c r="H88" s="43"/>
      <c r="I88" s="46" t="s">
        <v>84</v>
      </c>
      <c r="J88" s="41" t="s">
        <v>143</v>
      </c>
      <c r="K88" s="27" t="s">
        <v>359</v>
      </c>
      <c r="L88" s="27" t="s">
        <v>55</v>
      </c>
      <c r="M88" s="83" t="s">
        <v>245</v>
      </c>
      <c r="N88" s="41" t="s">
        <v>56</v>
      </c>
      <c r="O88" s="41" t="s">
        <v>56</v>
      </c>
      <c r="P88" s="41" t="s">
        <v>56</v>
      </c>
      <c r="Q88" s="41" t="s">
        <v>56</v>
      </c>
      <c r="R88" s="41" t="s">
        <v>56</v>
      </c>
      <c r="S88" s="41" t="s">
        <v>56</v>
      </c>
      <c r="T88" s="43" t="s">
        <v>55</v>
      </c>
      <c r="U88" s="41" t="s">
        <v>56</v>
      </c>
      <c r="V88" s="86">
        <f t="shared" si="1"/>
        <v>0</v>
      </c>
      <c r="W88" s="39"/>
    </row>
    <row r="89" spans="1:23" x14ac:dyDescent="0.35">
      <c r="A89" s="41" t="s">
        <v>360</v>
      </c>
      <c r="B89" s="65" t="s">
        <v>283</v>
      </c>
      <c r="C89" s="65">
        <v>2026</v>
      </c>
      <c r="D89" s="41" t="s">
        <v>81</v>
      </c>
      <c r="E89" s="65" t="s">
        <v>8</v>
      </c>
      <c r="F89" s="28" t="s">
        <v>138</v>
      </c>
      <c r="G89" s="48" t="s">
        <v>6</v>
      </c>
      <c r="H89" s="41"/>
      <c r="I89" s="46" t="s">
        <v>84</v>
      </c>
      <c r="J89" s="41" t="s">
        <v>143</v>
      </c>
      <c r="K89" s="25" t="s">
        <v>361</v>
      </c>
      <c r="L89" s="25" t="s">
        <v>56</v>
      </c>
      <c r="M89" s="83" t="s">
        <v>245</v>
      </c>
      <c r="N89" s="41" t="s">
        <v>55</v>
      </c>
      <c r="O89" s="41" t="s">
        <v>56</v>
      </c>
      <c r="P89" s="41" t="s">
        <v>56</v>
      </c>
      <c r="Q89" s="41" t="s">
        <v>56</v>
      </c>
      <c r="R89" s="41" t="s">
        <v>56</v>
      </c>
      <c r="S89" s="41" t="s">
        <v>56</v>
      </c>
      <c r="T89" s="41" t="s">
        <v>56</v>
      </c>
      <c r="U89" s="41" t="s">
        <v>56</v>
      </c>
      <c r="V89" s="86">
        <f t="shared" si="1"/>
        <v>0</v>
      </c>
      <c r="W89" s="39" t="s">
        <v>362</v>
      </c>
    </row>
    <row r="90" spans="1:23" x14ac:dyDescent="0.35">
      <c r="A90" s="41" t="s">
        <v>363</v>
      </c>
      <c r="B90" s="65" t="s">
        <v>12</v>
      </c>
      <c r="C90" s="65">
        <v>2026</v>
      </c>
      <c r="D90" s="41"/>
      <c r="E90" s="65" t="s">
        <v>8</v>
      </c>
      <c r="F90" s="41" t="s">
        <v>21</v>
      </c>
      <c r="G90" s="48" t="s">
        <v>22</v>
      </c>
      <c r="H90" s="41"/>
      <c r="I90" s="46" t="s">
        <v>84</v>
      </c>
      <c r="J90" s="41" t="s">
        <v>143</v>
      </c>
      <c r="K90" s="25" t="s">
        <v>364</v>
      </c>
      <c r="L90" s="25" t="s">
        <v>56</v>
      </c>
      <c r="M90" s="39" t="s">
        <v>365</v>
      </c>
      <c r="N90" s="41"/>
      <c r="O90" s="41"/>
      <c r="P90" s="41"/>
      <c r="Q90" s="41"/>
      <c r="R90" s="41"/>
      <c r="S90" s="41"/>
      <c r="T90" s="41"/>
      <c r="U90" s="41"/>
      <c r="V90" s="86">
        <f t="shared" si="1"/>
        <v>0</v>
      </c>
      <c r="W90" s="39"/>
    </row>
    <row r="91" spans="1:23" s="2" customFormat="1" x14ac:dyDescent="0.35">
      <c r="A91" s="41" t="s">
        <v>366</v>
      </c>
      <c r="B91" s="65" t="s">
        <v>12</v>
      </c>
      <c r="C91" s="65">
        <v>2026</v>
      </c>
      <c r="D91" s="41"/>
      <c r="E91" s="65" t="s">
        <v>28</v>
      </c>
      <c r="F91" s="41" t="s">
        <v>25</v>
      </c>
      <c r="G91" s="41" t="s">
        <v>13</v>
      </c>
      <c r="H91" s="41"/>
      <c r="I91" s="46" t="s">
        <v>84</v>
      </c>
      <c r="J91" s="41" t="s">
        <v>143</v>
      </c>
      <c r="K91" s="25" t="s">
        <v>367</v>
      </c>
      <c r="L91" s="25" t="s">
        <v>55</v>
      </c>
      <c r="M91" s="39" t="s">
        <v>302</v>
      </c>
      <c r="N91" s="41"/>
      <c r="O91" s="41"/>
      <c r="P91" s="41"/>
      <c r="Q91" s="41"/>
      <c r="R91" s="41"/>
      <c r="S91" s="41"/>
      <c r="T91" s="41"/>
      <c r="U91" s="41"/>
      <c r="V91" s="86">
        <f t="shared" si="1"/>
        <v>0</v>
      </c>
      <c r="W91" s="39"/>
    </row>
    <row r="92" spans="1:23" s="2" customFormat="1" x14ac:dyDescent="0.35">
      <c r="A92" s="41" t="s">
        <v>368</v>
      </c>
      <c r="B92" s="65" t="s">
        <v>12</v>
      </c>
      <c r="C92" s="65">
        <v>2026</v>
      </c>
      <c r="D92" s="41"/>
      <c r="E92" s="65" t="s">
        <v>15</v>
      </c>
      <c r="F92" s="41" t="s">
        <v>25</v>
      </c>
      <c r="G92" s="48" t="s">
        <v>19</v>
      </c>
      <c r="H92" s="41"/>
      <c r="I92" s="46" t="s">
        <v>84</v>
      </c>
      <c r="J92" s="41" t="s">
        <v>143</v>
      </c>
      <c r="K92" s="25" t="s">
        <v>369</v>
      </c>
      <c r="L92" s="25" t="s">
        <v>55</v>
      </c>
      <c r="M92" s="39" t="s">
        <v>302</v>
      </c>
      <c r="N92" s="41"/>
      <c r="O92" s="41"/>
      <c r="P92" s="41"/>
      <c r="Q92" s="41"/>
      <c r="R92" s="41"/>
      <c r="S92" s="41"/>
      <c r="T92" s="41"/>
      <c r="U92" s="41"/>
      <c r="V92" s="86">
        <f t="shared" si="1"/>
        <v>0</v>
      </c>
      <c r="W92" s="39"/>
    </row>
    <row r="93" spans="1:23" s="2" customFormat="1" x14ac:dyDescent="0.35">
      <c r="A93" s="41" t="s">
        <v>370</v>
      </c>
      <c r="B93" s="65" t="s">
        <v>283</v>
      </c>
      <c r="C93" s="65">
        <v>2026</v>
      </c>
      <c r="D93" s="41"/>
      <c r="E93" s="65" t="s">
        <v>15</v>
      </c>
      <c r="F93" s="41" t="s">
        <v>60</v>
      </c>
      <c r="G93" s="48" t="s">
        <v>239</v>
      </c>
      <c r="H93" s="41"/>
      <c r="I93" s="46" t="s">
        <v>84</v>
      </c>
      <c r="J93" s="41" t="s">
        <v>143</v>
      </c>
      <c r="K93" s="25" t="s">
        <v>371</v>
      </c>
      <c r="L93" s="25" t="s">
        <v>56</v>
      </c>
      <c r="M93" s="39" t="s">
        <v>305</v>
      </c>
      <c r="N93" s="41"/>
      <c r="O93" s="41"/>
      <c r="P93" s="41"/>
      <c r="Q93" s="41"/>
      <c r="R93" s="41"/>
      <c r="S93" s="41"/>
      <c r="T93" s="41"/>
      <c r="U93" s="41"/>
      <c r="V93" s="86">
        <f t="shared" si="1"/>
        <v>0</v>
      </c>
      <c r="W93" s="42"/>
    </row>
    <row r="94" spans="1:23" s="2" customFormat="1" x14ac:dyDescent="0.35">
      <c r="A94" s="41" t="s">
        <v>372</v>
      </c>
      <c r="B94" s="65" t="s">
        <v>283</v>
      </c>
      <c r="C94" s="65">
        <v>2026</v>
      </c>
      <c r="D94" s="41" t="s">
        <v>373</v>
      </c>
      <c r="E94" s="65" t="s">
        <v>15</v>
      </c>
      <c r="F94" s="41" t="s">
        <v>25</v>
      </c>
      <c r="G94" s="41" t="s">
        <v>13</v>
      </c>
      <c r="H94" s="41"/>
      <c r="I94" s="46" t="s">
        <v>84</v>
      </c>
      <c r="J94" s="41" t="s">
        <v>143</v>
      </c>
      <c r="K94" s="25" t="s">
        <v>374</v>
      </c>
      <c r="L94" s="25" t="s">
        <v>56</v>
      </c>
      <c r="M94" s="83" t="s">
        <v>245</v>
      </c>
      <c r="N94" s="41" t="s">
        <v>56</v>
      </c>
      <c r="O94" s="41" t="s">
        <v>56</v>
      </c>
      <c r="P94" s="43" t="s">
        <v>55</v>
      </c>
      <c r="Q94" s="43" t="s">
        <v>56</v>
      </c>
      <c r="R94" s="43" t="s">
        <v>56</v>
      </c>
      <c r="S94" s="43" t="s">
        <v>56</v>
      </c>
      <c r="T94" s="43" t="s">
        <v>56</v>
      </c>
      <c r="U94" s="43" t="s">
        <v>56</v>
      </c>
      <c r="V94" s="86">
        <f t="shared" si="1"/>
        <v>0.2</v>
      </c>
      <c r="W94" s="39" t="s">
        <v>345</v>
      </c>
    </row>
    <row r="95" spans="1:23" s="2" customFormat="1" x14ac:dyDescent="0.35">
      <c r="A95" s="43" t="s">
        <v>375</v>
      </c>
      <c r="B95" s="66" t="s">
        <v>283</v>
      </c>
      <c r="C95" s="66">
        <v>2026</v>
      </c>
      <c r="D95" s="43" t="s">
        <v>288</v>
      </c>
      <c r="E95" s="66" t="s">
        <v>15</v>
      </c>
      <c r="F95" s="43" t="s">
        <v>25</v>
      </c>
      <c r="G95" s="49" t="s">
        <v>13</v>
      </c>
      <c r="H95" s="43"/>
      <c r="I95" s="50" t="s">
        <v>84</v>
      </c>
      <c r="J95" s="41" t="s">
        <v>143</v>
      </c>
      <c r="K95" s="27" t="s">
        <v>376</v>
      </c>
      <c r="L95" s="27" t="s">
        <v>56</v>
      </c>
      <c r="M95" s="83" t="s">
        <v>245</v>
      </c>
      <c r="N95" s="43" t="s">
        <v>56</v>
      </c>
      <c r="O95" s="43" t="s">
        <v>55</v>
      </c>
      <c r="P95" s="43" t="s">
        <v>55</v>
      </c>
      <c r="Q95" s="43" t="s">
        <v>55</v>
      </c>
      <c r="R95" s="43" t="s">
        <v>55</v>
      </c>
      <c r="S95" s="43" t="s">
        <v>55</v>
      </c>
      <c r="T95" s="43" t="s">
        <v>56</v>
      </c>
      <c r="U95" s="43" t="s">
        <v>56</v>
      </c>
      <c r="V95" s="86">
        <f t="shared" si="1"/>
        <v>1</v>
      </c>
      <c r="W95" s="44"/>
    </row>
    <row r="96" spans="1:23" s="2" customFormat="1" x14ac:dyDescent="0.35">
      <c r="A96" s="41" t="s">
        <v>377</v>
      </c>
      <c r="B96" s="65" t="s">
        <v>12</v>
      </c>
      <c r="C96" s="65">
        <v>2026</v>
      </c>
      <c r="D96" s="41"/>
      <c r="E96" s="65" t="s">
        <v>5</v>
      </c>
      <c r="F96" s="41" t="s">
        <v>25</v>
      </c>
      <c r="G96" s="41" t="s">
        <v>13</v>
      </c>
      <c r="H96" s="41"/>
      <c r="I96" s="41" t="s">
        <v>84</v>
      </c>
      <c r="J96" s="41" t="s">
        <v>143</v>
      </c>
      <c r="K96" s="25" t="s">
        <v>378</v>
      </c>
      <c r="L96" s="25" t="s">
        <v>55</v>
      </c>
      <c r="M96" s="39" t="s">
        <v>302</v>
      </c>
      <c r="N96" s="41"/>
      <c r="O96" s="41"/>
      <c r="P96" s="41"/>
      <c r="Q96" s="41"/>
      <c r="R96" s="41"/>
      <c r="S96" s="41"/>
      <c r="T96" s="41"/>
      <c r="U96" s="41"/>
      <c r="V96" s="86">
        <f t="shared" si="1"/>
        <v>0</v>
      </c>
      <c r="W96" s="39"/>
    </row>
    <row r="97" spans="1:23" s="2" customFormat="1" x14ac:dyDescent="0.35">
      <c r="A97" s="43" t="s">
        <v>379</v>
      </c>
      <c r="B97" s="66" t="s">
        <v>12</v>
      </c>
      <c r="C97" s="66">
        <v>2026</v>
      </c>
      <c r="D97" s="43"/>
      <c r="E97" s="66" t="s">
        <v>5</v>
      </c>
      <c r="F97" s="43" t="s">
        <v>60</v>
      </c>
      <c r="G97" s="43" t="s">
        <v>293</v>
      </c>
      <c r="H97" s="43"/>
      <c r="I97" s="43" t="s">
        <v>84</v>
      </c>
      <c r="J97" s="43" t="s">
        <v>85</v>
      </c>
      <c r="K97" s="27" t="s">
        <v>380</v>
      </c>
      <c r="L97" s="27" t="s">
        <v>56</v>
      </c>
      <c r="M97" s="44" t="s">
        <v>302</v>
      </c>
      <c r="N97" s="43"/>
      <c r="O97" s="43"/>
      <c r="P97" s="43"/>
      <c r="Q97" s="43"/>
      <c r="R97" s="43"/>
      <c r="S97" s="43"/>
      <c r="T97" s="43"/>
      <c r="U97" s="43"/>
      <c r="V97" s="86">
        <f t="shared" si="1"/>
        <v>0</v>
      </c>
      <c r="W97" s="45"/>
    </row>
    <row r="98" spans="1:23" s="4" customFormat="1" x14ac:dyDescent="0.35">
      <c r="A98" s="39" t="s">
        <v>381</v>
      </c>
      <c r="B98" s="64" t="s">
        <v>12</v>
      </c>
      <c r="C98" s="64">
        <v>2026</v>
      </c>
      <c r="D98" s="39"/>
      <c r="E98" s="70" t="s">
        <v>5</v>
      </c>
      <c r="F98" s="39" t="s">
        <v>25</v>
      </c>
      <c r="G98" s="39" t="s">
        <v>19</v>
      </c>
      <c r="H98" s="39"/>
      <c r="I98" s="39" t="s">
        <v>52</v>
      </c>
      <c r="J98" s="39" t="s">
        <v>53</v>
      </c>
      <c r="K98" s="24" t="s">
        <v>382</v>
      </c>
      <c r="L98" s="24"/>
      <c r="M98" s="83" t="s">
        <v>245</v>
      </c>
      <c r="N98" s="41" t="s">
        <v>56</v>
      </c>
      <c r="O98" s="41" t="s">
        <v>56</v>
      </c>
      <c r="P98" s="41" t="s">
        <v>56</v>
      </c>
      <c r="Q98" s="41" t="s">
        <v>56</v>
      </c>
      <c r="R98" s="41" t="s">
        <v>56</v>
      </c>
      <c r="S98" s="41" t="s">
        <v>56</v>
      </c>
      <c r="T98" s="41" t="s">
        <v>56</v>
      </c>
      <c r="U98" s="41" t="s">
        <v>56</v>
      </c>
      <c r="V98" s="86">
        <f t="shared" si="1"/>
        <v>0</v>
      </c>
      <c r="W98" s="39"/>
    </row>
    <row r="99" spans="1:23" s="4" customFormat="1" x14ac:dyDescent="0.35">
      <c r="A99" s="39" t="s">
        <v>383</v>
      </c>
      <c r="B99" s="64" t="s">
        <v>99</v>
      </c>
      <c r="C99" s="64">
        <v>2026</v>
      </c>
      <c r="D99" s="39"/>
      <c r="E99" s="65" t="s">
        <v>15</v>
      </c>
      <c r="F99" s="39" t="s">
        <v>60</v>
      </c>
      <c r="G99" s="39" t="s">
        <v>9</v>
      </c>
      <c r="H99" s="39"/>
      <c r="I99" s="39" t="s">
        <v>52</v>
      </c>
      <c r="J99" s="39" t="s">
        <v>255</v>
      </c>
      <c r="K99" s="24" t="s">
        <v>23</v>
      </c>
      <c r="L99" s="24"/>
      <c r="M99" s="83" t="s">
        <v>245</v>
      </c>
      <c r="N99" s="41" t="s">
        <v>56</v>
      </c>
      <c r="O99" s="41" t="s">
        <v>56</v>
      </c>
      <c r="P99" s="41" t="s">
        <v>56</v>
      </c>
      <c r="Q99" s="41" t="s">
        <v>56</v>
      </c>
      <c r="R99" s="41" t="s">
        <v>56</v>
      </c>
      <c r="S99" s="41" t="s">
        <v>56</v>
      </c>
      <c r="T99" s="41" t="s">
        <v>56</v>
      </c>
      <c r="U99" s="41" t="s">
        <v>56</v>
      </c>
      <c r="V99" s="86">
        <f t="shared" si="1"/>
        <v>0</v>
      </c>
      <c r="W99" s="39"/>
    </row>
    <row r="100" spans="1:23" s="2" customFormat="1" x14ac:dyDescent="0.35">
      <c r="A100" s="39" t="s">
        <v>384</v>
      </c>
      <c r="B100" s="65" t="s">
        <v>12</v>
      </c>
      <c r="C100" s="68">
        <v>2026</v>
      </c>
      <c r="D100" s="41"/>
      <c r="E100" s="70" t="s">
        <v>5</v>
      </c>
      <c r="F100" s="39" t="s">
        <v>60</v>
      </c>
      <c r="G100" s="41" t="s">
        <v>10</v>
      </c>
      <c r="H100" s="41"/>
      <c r="I100" s="39" t="s">
        <v>52</v>
      </c>
      <c r="J100" s="39" t="s">
        <v>53</v>
      </c>
      <c r="K100" s="25" t="s">
        <v>385</v>
      </c>
      <c r="L100" s="25"/>
      <c r="M100" s="83" t="s">
        <v>245</v>
      </c>
      <c r="N100" s="41" t="s">
        <v>56</v>
      </c>
      <c r="O100" s="41" t="s">
        <v>56</v>
      </c>
      <c r="P100" s="41" t="s">
        <v>56</v>
      </c>
      <c r="Q100" s="41" t="s">
        <v>56</v>
      </c>
      <c r="R100" s="41" t="s">
        <v>56</v>
      </c>
      <c r="S100" s="41" t="s">
        <v>56</v>
      </c>
      <c r="T100" s="41" t="s">
        <v>56</v>
      </c>
      <c r="U100" s="41" t="s">
        <v>56</v>
      </c>
      <c r="V100" s="86">
        <f t="shared" si="1"/>
        <v>0</v>
      </c>
      <c r="W100" s="39"/>
    </row>
    <row r="101" spans="1:23" s="2" customFormat="1" x14ac:dyDescent="0.35">
      <c r="A101" s="39" t="s">
        <v>386</v>
      </c>
      <c r="B101" s="65" t="s">
        <v>283</v>
      </c>
      <c r="C101" s="64">
        <v>2026</v>
      </c>
      <c r="D101" s="41"/>
      <c r="E101" s="65" t="s">
        <v>8</v>
      </c>
      <c r="F101" s="39" t="s">
        <v>25</v>
      </c>
      <c r="G101" s="49" t="s">
        <v>13</v>
      </c>
      <c r="H101" s="41"/>
      <c r="I101" s="39" t="s">
        <v>52</v>
      </c>
      <c r="J101" s="39" t="s">
        <v>255</v>
      </c>
      <c r="K101" s="25" t="s">
        <v>387</v>
      </c>
      <c r="L101" s="25"/>
      <c r="M101" s="83" t="s">
        <v>245</v>
      </c>
      <c r="N101" s="41" t="s">
        <v>56</v>
      </c>
      <c r="O101" s="41" t="s">
        <v>56</v>
      </c>
      <c r="P101" s="41" t="s">
        <v>56</v>
      </c>
      <c r="Q101" s="41" t="s">
        <v>56</v>
      </c>
      <c r="R101" s="41" t="s">
        <v>56</v>
      </c>
      <c r="S101" s="41" t="s">
        <v>56</v>
      </c>
      <c r="T101" s="41" t="s">
        <v>56</v>
      </c>
      <c r="U101" s="41" t="s">
        <v>56</v>
      </c>
      <c r="V101" s="86">
        <f t="shared" si="1"/>
        <v>0</v>
      </c>
      <c r="W101" s="39"/>
    </row>
    <row r="102" spans="1:23" s="2" customFormat="1" x14ac:dyDescent="0.35">
      <c r="A102" s="39" t="s">
        <v>388</v>
      </c>
      <c r="B102" s="65" t="s">
        <v>283</v>
      </c>
      <c r="C102" s="64">
        <v>2026</v>
      </c>
      <c r="D102" s="41"/>
      <c r="E102" s="65" t="s">
        <v>15</v>
      </c>
      <c r="F102" s="39" t="s">
        <v>25</v>
      </c>
      <c r="G102" s="41" t="s">
        <v>13</v>
      </c>
      <c r="H102" s="43"/>
      <c r="I102" s="44" t="s">
        <v>52</v>
      </c>
      <c r="J102" s="44" t="s">
        <v>255</v>
      </c>
      <c r="K102" s="27" t="s">
        <v>389</v>
      </c>
      <c r="L102" s="27"/>
      <c r="M102" s="83" t="s">
        <v>245</v>
      </c>
      <c r="N102" s="43" t="s">
        <v>56</v>
      </c>
      <c r="O102" s="43" t="s">
        <v>56</v>
      </c>
      <c r="P102" s="43" t="s">
        <v>56</v>
      </c>
      <c r="Q102" s="43" t="s">
        <v>56</v>
      </c>
      <c r="R102" s="43" t="s">
        <v>56</v>
      </c>
      <c r="S102" s="43" t="s">
        <v>56</v>
      </c>
      <c r="T102" s="41" t="s">
        <v>56</v>
      </c>
      <c r="U102" s="41" t="s">
        <v>56</v>
      </c>
      <c r="V102" s="86">
        <f t="shared" si="1"/>
        <v>0</v>
      </c>
      <c r="W102" s="39"/>
    </row>
    <row r="103" spans="1:23" s="4" customFormat="1" ht="29" x14ac:dyDescent="0.35">
      <c r="A103" s="39" t="s">
        <v>390</v>
      </c>
      <c r="B103" s="67" t="s">
        <v>12</v>
      </c>
      <c r="C103" s="67">
        <v>2026</v>
      </c>
      <c r="D103" s="39"/>
      <c r="E103" s="39" t="s">
        <v>28</v>
      </c>
      <c r="F103" s="39" t="s">
        <v>60</v>
      </c>
      <c r="G103" s="72" t="s">
        <v>82</v>
      </c>
      <c r="H103" s="39" t="s">
        <v>391</v>
      </c>
      <c r="I103" s="39" t="s">
        <v>52</v>
      </c>
      <c r="J103" s="39" t="s">
        <v>53</v>
      </c>
      <c r="K103" s="24" t="s">
        <v>392</v>
      </c>
      <c r="L103" s="24"/>
      <c r="M103" s="39" t="s">
        <v>302</v>
      </c>
      <c r="N103" s="39"/>
      <c r="O103" s="39"/>
      <c r="P103" s="39"/>
      <c r="Q103" s="39"/>
      <c r="R103" s="39"/>
      <c r="S103" s="39"/>
      <c r="T103" s="39"/>
      <c r="U103" s="39"/>
      <c r="V103" s="86">
        <f t="shared" si="1"/>
        <v>0</v>
      </c>
      <c r="W103" s="39"/>
    </row>
    <row r="104" spans="1:23" x14ac:dyDescent="0.35">
      <c r="A104" s="51"/>
      <c r="B104" s="51"/>
      <c r="C104" s="51"/>
      <c r="D104" s="52"/>
      <c r="E104" s="52"/>
      <c r="F104" s="51"/>
      <c r="G104" s="51"/>
      <c r="H104" s="52"/>
      <c r="I104" s="52"/>
      <c r="J104" s="52"/>
      <c r="M104" s="53"/>
      <c r="N104" s="51"/>
      <c r="O104" s="51"/>
      <c r="P104" s="51"/>
      <c r="Q104" s="51"/>
      <c r="R104" s="51"/>
      <c r="S104" s="51"/>
      <c r="T104" s="51"/>
      <c r="U104" s="51"/>
      <c r="V104" s="51"/>
      <c r="W104" s="54"/>
    </row>
    <row r="105" spans="1:23" x14ac:dyDescent="0.35">
      <c r="A105" s="51"/>
      <c r="B105" s="51"/>
      <c r="C105" s="51"/>
      <c r="D105" s="52"/>
      <c r="E105" s="52"/>
      <c r="F105" s="51"/>
      <c r="G105" s="51"/>
      <c r="H105" s="52"/>
      <c r="I105" s="52"/>
      <c r="J105" s="52"/>
      <c r="M105" s="53"/>
      <c r="N105" s="51"/>
      <c r="O105" s="51"/>
      <c r="P105" s="51"/>
      <c r="Q105" s="51"/>
      <c r="R105" s="51"/>
      <c r="S105" s="51"/>
      <c r="T105" s="51"/>
      <c r="U105" s="51"/>
      <c r="V105" s="51"/>
      <c r="W105" s="54"/>
    </row>
    <row r="106" spans="1:23" x14ac:dyDescent="0.35">
      <c r="A106" s="51"/>
      <c r="B106" s="51"/>
      <c r="C106" s="51"/>
      <c r="D106" s="52"/>
      <c r="E106" s="52"/>
      <c r="F106" s="51"/>
      <c r="G106" s="51"/>
      <c r="H106" s="52"/>
      <c r="I106" s="52"/>
      <c r="J106" s="52"/>
      <c r="M106" s="53"/>
      <c r="N106" s="51"/>
      <c r="O106" s="51"/>
      <c r="P106" s="51"/>
      <c r="Q106" s="51"/>
      <c r="R106" s="51"/>
      <c r="S106" s="51"/>
      <c r="T106" s="51"/>
      <c r="U106" s="51"/>
      <c r="V106" s="51"/>
      <c r="W106" s="54"/>
    </row>
    <row r="107" spans="1:23" x14ac:dyDescent="0.35">
      <c r="A107" s="51"/>
      <c r="B107" s="51"/>
      <c r="C107" s="51"/>
      <c r="D107" s="52"/>
      <c r="E107" s="52"/>
      <c r="F107" s="51"/>
      <c r="G107" s="51"/>
      <c r="H107" s="52"/>
      <c r="I107" s="52"/>
      <c r="J107" s="52"/>
      <c r="M107" s="53"/>
      <c r="N107" s="51"/>
      <c r="O107" s="51"/>
      <c r="P107" s="51"/>
      <c r="Q107" s="51"/>
      <c r="R107" s="51"/>
      <c r="S107" s="51"/>
      <c r="T107" s="51"/>
      <c r="U107" s="51"/>
      <c r="V107" s="51"/>
      <c r="W107" s="54"/>
    </row>
    <row r="108" spans="1:23" x14ac:dyDescent="0.35">
      <c r="A108" s="51"/>
      <c r="B108" s="51"/>
      <c r="C108" s="51"/>
      <c r="D108" s="52"/>
      <c r="E108" s="52"/>
      <c r="F108" s="51"/>
      <c r="G108" s="51"/>
      <c r="H108" s="52"/>
      <c r="I108" s="52"/>
      <c r="J108" s="52"/>
      <c r="M108" s="53"/>
      <c r="N108" s="51"/>
      <c r="O108" s="51"/>
      <c r="P108" s="51"/>
      <c r="Q108" s="51"/>
      <c r="R108" s="51"/>
      <c r="S108" s="51"/>
      <c r="T108" s="51"/>
      <c r="U108" s="51"/>
      <c r="V108" s="51"/>
      <c r="W108" s="54"/>
    </row>
    <row r="109" spans="1:23" x14ac:dyDescent="0.35">
      <c r="A109" s="51"/>
      <c r="B109" s="51"/>
      <c r="C109" s="51"/>
      <c r="D109" s="52"/>
      <c r="E109" s="52"/>
      <c r="F109" s="51"/>
      <c r="G109" s="51"/>
      <c r="H109" s="52"/>
      <c r="I109" s="52"/>
      <c r="J109" s="52"/>
      <c r="M109" s="53"/>
      <c r="N109" s="51"/>
      <c r="O109" s="51"/>
      <c r="P109" s="51"/>
      <c r="Q109" s="51"/>
      <c r="R109" s="51"/>
      <c r="S109" s="51"/>
      <c r="T109" s="51"/>
      <c r="U109" s="51"/>
      <c r="V109" s="51"/>
      <c r="W109" s="54"/>
    </row>
    <row r="110" spans="1:23" x14ac:dyDescent="0.35">
      <c r="A110" s="51"/>
      <c r="B110" s="51"/>
      <c r="C110" s="51"/>
      <c r="D110" s="52"/>
      <c r="E110" s="52"/>
      <c r="F110" s="51"/>
      <c r="G110" s="51"/>
      <c r="H110" s="52"/>
      <c r="I110" s="52"/>
      <c r="J110" s="52"/>
      <c r="M110" s="53"/>
      <c r="N110" s="51"/>
      <c r="O110" s="51"/>
      <c r="P110" s="51"/>
      <c r="Q110" s="51"/>
      <c r="R110" s="51"/>
      <c r="S110" s="51"/>
      <c r="T110" s="51"/>
      <c r="U110" s="51"/>
      <c r="V110" s="51"/>
      <c r="W110" s="54"/>
    </row>
    <row r="111" spans="1:23" x14ac:dyDescent="0.35">
      <c r="A111" s="51"/>
      <c r="B111" s="51"/>
      <c r="C111" s="51"/>
      <c r="D111" s="52"/>
      <c r="E111" s="52"/>
      <c r="F111" s="51"/>
      <c r="G111" s="51"/>
      <c r="H111" s="52"/>
      <c r="I111" s="52"/>
      <c r="J111" s="52"/>
      <c r="M111" s="53"/>
      <c r="N111" s="51"/>
      <c r="O111" s="51"/>
      <c r="P111" s="51"/>
      <c r="Q111" s="51"/>
      <c r="R111" s="51"/>
      <c r="S111" s="51"/>
      <c r="T111" s="51"/>
      <c r="U111" s="51"/>
      <c r="V111" s="51"/>
      <c r="W111" s="54"/>
    </row>
    <row r="112" spans="1:23" x14ac:dyDescent="0.35">
      <c r="A112" s="51"/>
      <c r="B112" s="51"/>
      <c r="C112" s="51"/>
      <c r="D112" s="52"/>
      <c r="E112" s="52"/>
      <c r="F112" s="51"/>
      <c r="G112" s="51"/>
      <c r="H112" s="52"/>
      <c r="I112" s="52"/>
      <c r="J112" s="52"/>
      <c r="M112" s="53"/>
      <c r="N112" s="51"/>
      <c r="O112" s="51"/>
      <c r="P112" s="51"/>
      <c r="Q112" s="51"/>
      <c r="R112" s="51"/>
      <c r="S112" s="51"/>
      <c r="T112" s="51"/>
      <c r="U112" s="51"/>
      <c r="V112" s="51"/>
      <c r="W112" s="54"/>
    </row>
    <row r="113" spans="1:23" x14ac:dyDescent="0.35">
      <c r="A113" s="51"/>
      <c r="B113" s="51"/>
      <c r="C113" s="51"/>
      <c r="D113" s="52"/>
      <c r="E113" s="52"/>
      <c r="F113" s="51"/>
      <c r="G113" s="51"/>
      <c r="H113" s="52"/>
      <c r="I113" s="52"/>
      <c r="J113" s="52"/>
      <c r="M113" s="53"/>
      <c r="N113" s="51"/>
      <c r="O113" s="51"/>
      <c r="P113" s="51"/>
      <c r="Q113" s="51"/>
      <c r="R113" s="51"/>
      <c r="S113" s="51"/>
      <c r="T113" s="51"/>
      <c r="U113" s="51"/>
      <c r="V113" s="51"/>
      <c r="W113" s="54"/>
    </row>
    <row r="114" spans="1:23" x14ac:dyDescent="0.35">
      <c r="A114" s="51"/>
      <c r="B114" s="51"/>
      <c r="C114" s="51"/>
      <c r="D114" s="52"/>
      <c r="E114" s="52"/>
      <c r="F114" s="51"/>
      <c r="G114" s="51"/>
      <c r="H114" s="52"/>
      <c r="I114" s="52"/>
      <c r="J114" s="52"/>
      <c r="M114" s="53"/>
      <c r="N114" s="51"/>
      <c r="O114" s="51"/>
      <c r="P114" s="51"/>
      <c r="Q114" s="51"/>
      <c r="R114" s="51"/>
      <c r="S114" s="51"/>
      <c r="T114" s="51"/>
      <c r="U114" s="51"/>
      <c r="V114" s="51"/>
      <c r="W114" s="54"/>
    </row>
    <row r="115" spans="1:23" x14ac:dyDescent="0.35">
      <c r="A115" s="51"/>
      <c r="B115" s="51"/>
      <c r="C115" s="51"/>
      <c r="D115" s="52"/>
      <c r="E115" s="52"/>
      <c r="F115" s="51"/>
      <c r="G115" s="51"/>
      <c r="H115" s="52"/>
      <c r="I115" s="52"/>
      <c r="J115" s="52"/>
      <c r="M115" s="53"/>
      <c r="N115" s="51"/>
      <c r="O115" s="51"/>
      <c r="P115" s="51"/>
      <c r="Q115" s="51"/>
      <c r="R115" s="51"/>
      <c r="S115" s="51"/>
      <c r="T115" s="51"/>
      <c r="U115" s="51"/>
      <c r="V115" s="51"/>
      <c r="W115" s="54"/>
    </row>
    <row r="116" spans="1:23" x14ac:dyDescent="0.35">
      <c r="A116" s="51"/>
      <c r="B116" s="51"/>
      <c r="C116" s="51"/>
      <c r="D116" s="52"/>
      <c r="E116" s="52"/>
      <c r="F116" s="51"/>
      <c r="G116" s="51"/>
      <c r="H116" s="52"/>
      <c r="I116" s="52"/>
      <c r="J116" s="52"/>
      <c r="M116" s="53"/>
      <c r="N116" s="51"/>
      <c r="O116" s="51"/>
      <c r="P116" s="51"/>
      <c r="Q116" s="51"/>
      <c r="R116" s="51"/>
      <c r="S116" s="51"/>
      <c r="T116" s="51"/>
      <c r="U116" s="51"/>
      <c r="V116" s="51"/>
      <c r="W116" s="54"/>
    </row>
  </sheetData>
  <autoFilter ref="A1:W103" xr:uid="{43B68915-EFEC-4CEE-9145-C32EF141494D}"/>
  <conditionalFormatting sqref="M2:M1048576">
    <cfRule type="cellIs" dxfId="2" priority="1" operator="equal">
      <formula>"IMPLEMENTADO"</formula>
    </cfRule>
  </conditionalFormatting>
  <conditionalFormatting sqref="N2:U103 N104:V1048576">
    <cfRule type="cellIs" dxfId="1" priority="5" operator="equal">
      <formula>"NO"</formula>
    </cfRule>
    <cfRule type="cellIs" dxfId="0" priority="6" operator="equal">
      <formula>"SI"</formula>
    </cfRule>
  </conditionalFormatting>
  <dataValidations count="6">
    <dataValidation type="list" allowBlank="1" showInputMessage="1" showErrorMessage="1" sqref="F90:F1048576 F2:F19 F21:F26 F31:F52 F54:F88" xr:uid="{F2A17911-A92C-4130-A9EB-BCE527E81B51}">
      <formula1>"LIMTEK,GTAWA,ROM"</formula1>
    </dataValidation>
    <dataValidation allowBlank="1" showInputMessage="1" showErrorMessage="1" sqref="G89:G1048576 H31 G55:G87 G39:G53 G16:G18 G20:G37 G2:G14 J2:J1048576" xr:uid="{001C34E5-84DC-4A67-B4CE-3186B45C6C39}"/>
    <dataValidation type="list" allowBlank="1" showInputMessage="1" showErrorMessage="1" sqref="F20 F53 F89 F17 F8 F27:F30" xr:uid="{11DAA19A-9F90-449B-8636-D7D9118F4664}">
      <formula1>"LIMTEK,GTAWA,ROM,ROM/TAWA"</formula1>
    </dataValidation>
    <dataValidation type="list" allowBlank="1" showInputMessage="1" showErrorMessage="1" sqref="N64:U67 T69:U82 N69:R82 N62:U62 V104:V1048576 S69:S98 N84:R98 N2:U60 N98:U1048576 T84:U98" xr:uid="{89AD18D2-46A3-4E2B-886C-E4C9DAFDEF6B}">
      <formula1>"SI,NO"</formula1>
    </dataValidation>
    <dataValidation type="list" allowBlank="1" showInputMessage="1" showErrorMessage="1" sqref="I2:I26 I31:I45 I48:I1048576" xr:uid="{DF2CF4F2-6A10-422E-B184-6E9201245B3C}">
      <formula1>"AUTOMATIZACION,DIGITALIZACION"</formula1>
    </dataValidation>
    <dataValidation type="list" allowBlank="1" showInputMessage="1" showErrorMessage="1" sqref="N63:U63 N68:U68 T83:U83 N83:R83 N61:U61" xr:uid="{3C3B3980-815D-409F-9E8E-68C892EA30C3}">
      <formula1>"SI,NO,NO APLICA"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0cd446d-6038-4d51-a65f-85bc047240cb">
      <UserInfo>
        <DisplayName/>
        <AccountId xsi:nil="true"/>
        <AccountType/>
      </UserInfo>
    </SharedWithUsers>
    <lcf76f155ced4ddcb4097134ff3c332f xmlns="3d898858-b999-466b-8f1f-179db28f51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F9601C20ECC4499280EC6216E68E22" ma:contentTypeVersion="13" ma:contentTypeDescription="Crear nuevo documento." ma:contentTypeScope="" ma:versionID="c84a5925ca0f01a960a6419a9a12a321">
  <xsd:schema xmlns:xsd="http://www.w3.org/2001/XMLSchema" xmlns:xs="http://www.w3.org/2001/XMLSchema" xmlns:p="http://schemas.microsoft.com/office/2006/metadata/properties" xmlns:ns2="3d898858-b999-466b-8f1f-179db28f51cd" xmlns:ns3="50cd446d-6038-4d51-a65f-85bc047240cb" targetNamespace="http://schemas.microsoft.com/office/2006/metadata/properties" ma:root="true" ma:fieldsID="f9b58fd1e13e1e537a27a63f87c98e05" ns2:_="" ns3:_="">
    <xsd:import namespace="3d898858-b999-466b-8f1f-179db28f51cd"/>
    <xsd:import namespace="50cd446d-6038-4d51-a65f-85bc047240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8858-b999-466b-8f1f-179db28f5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4879cfd-7369-4653-8549-3ccd609e2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d446d-6038-4d51-a65f-85bc047240c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81013-2270-4DB2-91EC-5503B6F7F11C}">
  <ds:schemaRefs>
    <ds:schemaRef ds:uri="http://schemas.microsoft.com/office/2006/metadata/properties"/>
    <ds:schemaRef ds:uri="http://schemas.microsoft.com/office/infopath/2007/PartnerControls"/>
    <ds:schemaRef ds:uri="50cd446d-6038-4d51-a65f-85bc047240cb"/>
    <ds:schemaRef ds:uri="3d898858-b999-466b-8f1f-179db28f51cd"/>
  </ds:schemaRefs>
</ds:datastoreItem>
</file>

<file path=customXml/itemProps2.xml><?xml version="1.0" encoding="utf-8"?>
<ds:datastoreItem xmlns:ds="http://schemas.openxmlformats.org/officeDocument/2006/customXml" ds:itemID="{ED25B92C-56B0-4263-9E18-8DD327EB10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95D31-0F4D-4E49-9A24-DBE359CF7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898858-b999-466b-8f1f-179db28f51cd"/>
    <ds:schemaRef ds:uri="50cd446d-6038-4d51-a65f-85bc047240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Chunga Huamani</dc:creator>
  <cp:keywords/>
  <dc:description/>
  <cp:lastModifiedBy>Tamara Aquino Guzman</cp:lastModifiedBy>
  <cp:revision/>
  <dcterms:created xsi:type="dcterms:W3CDTF">2026-03-25T22:17:14Z</dcterms:created>
  <dcterms:modified xsi:type="dcterms:W3CDTF">2026-09-09T16:54:56Z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0x01010094F9601C20ECC4499280EC6216E68E22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